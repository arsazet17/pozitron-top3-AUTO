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05680023e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ОН" sheetId="1" r:id="Rf8cf9b777acc47d2"/>
    <x:sheet xmlns:r="http://schemas.openxmlformats.org/officeDocument/2006/relationships" name="Матрица A" sheetId="2" r:id="Rf320f03230e043a4"/>
    <x:sheet xmlns:r="http://schemas.openxmlformats.org/officeDocument/2006/relationships" name="Матрица B" sheetId="3" r:id="R3973126d2bb943e5"/>
    <x:sheet xmlns:r="http://schemas.openxmlformats.org/officeDocument/2006/relationships" name="Матрица C" sheetId="4" r:id="R8764027ee4724de6"/>
    <x:sheet xmlns:r="http://schemas.openxmlformats.org/officeDocument/2006/relationships" name="Журнал вариантов" sheetId="5" r:id="R76ab29fbcc534a5c"/>
    <x:sheet xmlns:r="http://schemas.openxmlformats.org/officeDocument/2006/relationships" name="Критерии" sheetId="6" r:id="Rf1546a9255dd4d1c"/>
    <x:sheet xmlns:r="http://schemas.openxmlformats.org/officeDocument/2006/relationships" name="Архив прогнозов 24ч" sheetId="7" r:id="Rdad33592beb04d93"/>
    <x:sheet xmlns:r="http://schemas.openxmlformats.org/officeDocument/2006/relationships" name="Журнал попаданий" sheetId="8" r:id="R7823350a8c5c485e"/>
    <x:sheet xmlns:r="http://schemas.openxmlformats.org/officeDocument/2006/relationships" name="Матрица попаданий" sheetId="9" r:id="Rf83265ec67794195"/>
    <x:sheet xmlns:r="http://schemas.openxmlformats.org/officeDocument/2006/relationships" name="Анализ попаданий" sheetId="10" r:id="R267f4269f18c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dd.mm.yyyy hh:mm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843C0C"/>
      <x:name val="Carlito"/>
    </x:font>
    <x:font>
      <x:b/>
      <x:sz val="11"/>
      <x:color rgb="FF7F6000"/>
      <x:name val="Carlito"/>
    </x:font>
    <x:font>
      <x:b/>
      <x:sz val="11"/>
      <x:color rgb="FF4C1F6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0" fillId="4" borderId="1" xfId="0" applyNumberFormat="1" applyFont="1" applyFill="1" applyBorder="1"/>
    <x:xf numFmtId="200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3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20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top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200" fontId="0" fillId="11" borderId="0" xfId="0" applyNumberFormat="1" applyFont="1" applyFill="1" applyBorder="1"/>
    <x:xf numFmtId="0" fontId="0" fillId="11" borderId="0" xfId="0" applyNumberFormat="1" applyFont="1" applyFill="1" applyBorder="1"/>
    <x:xf numFmtId="200" fontId="6" fillId="11" borderId="0" xfId="0" applyNumberFormat="1" applyFont="1" applyFill="1" applyBorder="1"/>
    <x:xf numFmtId="0" fontId="6" fillId="11" borderId="0" xfId="0" applyNumberFormat="1" applyFont="1" applyFill="1" applyBorder="1"/>
    <x:xf numFmtId="200" fontId="6" fillId="11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horizontal="center"/>
    </x:xf>
    <x:xf numFmtId="200" fontId="6" fillId="11" borderId="0" xfId="0" applyNumberFormat="1" applyFont="1" applyFill="1" applyBorder="1" applyAlignment="1">
      <x:alignment horizontal="center" vertical="top"/>
    </x:xf>
    <x:xf numFmtId="0" fontId="6" fillId="11" borderId="0" xfId="0" applyNumberFormat="1" applyFont="1" applyFill="1" applyBorder="1" applyAlignment="1">
      <x:alignment horizontal="center" vertical="top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d4961a8b149c9" /><Relationship Type="http://schemas.openxmlformats.org/officeDocument/2006/relationships/theme" Target="/xl/theme/theme1.xml" Id="Ra77572f409344529" /><Relationship Type="http://schemas.openxmlformats.org/officeDocument/2006/relationships/sharedStrings" Target="/xl/sharedStrings.xml" Id="Ra925367e66eb45c9" /><Relationship Type="http://schemas.openxmlformats.org/officeDocument/2006/relationships/worksheet" Target="/xl/worksheets/sheet1.xml" Id="Rf8cf9b777acc47d2" /><Relationship Type="http://schemas.openxmlformats.org/officeDocument/2006/relationships/worksheet" Target="/xl/worksheets/sheet2.xml" Id="Rf320f03230e043a4" /><Relationship Type="http://schemas.openxmlformats.org/officeDocument/2006/relationships/worksheet" Target="/xl/worksheets/sheet3.xml" Id="R3973126d2bb943e5" /><Relationship Type="http://schemas.openxmlformats.org/officeDocument/2006/relationships/worksheet" Target="/xl/worksheets/sheet4.xml" Id="R8764027ee4724de6" /><Relationship Type="http://schemas.openxmlformats.org/officeDocument/2006/relationships/worksheet" Target="/xl/worksheets/sheet5.xml" Id="R76ab29fbcc534a5c" /><Relationship Type="http://schemas.openxmlformats.org/officeDocument/2006/relationships/worksheet" Target="/xl/worksheets/sheet6.xml" Id="Rf1546a9255dd4d1c" /><Relationship Type="http://schemas.openxmlformats.org/officeDocument/2006/relationships/worksheet" Target="/xl/worksheets/sheet7.xml" Id="Rdad33592beb04d93" /><Relationship Type="http://schemas.openxmlformats.org/officeDocument/2006/relationships/worksheet" Target="/xl/worksheets/sheet8.xml" Id="R7823350a8c5c485e" /><Relationship Type="http://schemas.openxmlformats.org/officeDocument/2006/relationships/worksheet" Target="/xl/worksheets/sheet9.xml" Id="Rf83265ec67794195" /><Relationship Type="http://schemas.openxmlformats.org/officeDocument/2006/relationships/worksheet" Target="/xl/worksheets/sheet10.xml" Id="R267f4269f18c4c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4" hidden="0" customWidth="1"/>
  </x:cols>
  <x:sheetData>
    <x:row r="1">
      <x:c r="A1" s="5" t="str">
        <x:v>TOP-3 · МАТРИЦА НАБЛЮДЕНИЯ ЗА СМЕНОЙ АЛГОРИТМА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Правило</x:v>
      </x:c>
      <x:c r="B3" s="13" t="str">
        <x:v>Закон</x:v>
      </x:c>
    </x:row>
    <x:row r="4">
      <x:c r="A4" s="21" t="str">
        <x:v>1</x:v>
      </x:c>
      <x:c r="B4" s="26" t="str">
        <x:v>Прогнозы не меняются из-за наблюдений матрицы. На данном этапе только фиксируем и копим базу.</x:v>
      </x:c>
    </x:row>
    <x:row r="5">
      <x:c r="A5" s="21" t="str">
        <x:v>2</x:v>
      </x:c>
      <x:c r="B5" s="26" t="str">
        <x:v>Для каждого нового прогноза сохраняются ВСЕ найденные варианты/кандидаты ДО выбора В1/В2/В3/Доп. Г→Г.</x:v>
      </x:c>
    </x:row>
    <x:row r="6">
      <x:c r="A6" s="21" t="str">
        <x:v>3</x:v>
      </x:c>
      <x:c r="B6" s="26" t="str">
        <x:v>Обязательно фиксируются дата, день недели и время прогнозируемого тиража.</x:v>
      </x:c>
    </x:row>
    <x:row r="7">
      <x:c r="A7" s="21" t="str">
        <x:v>4</x:v>
      </x:c>
      <x:c r="B7" s="26" t="str">
        <x:v>Горизонтальная цепочка = 6 последних реально состоявшихся тиражей, слева направо: старые → новые. Граница суток не мешает.</x:v>
      </x:c>
    </x:row>
    <x:row r="8">
      <x:c r="A8" s="21" t="str">
        <x:v>5</x:v>
      </x:c>
      <x:c r="B8" s="26" t="str">
        <x:v>Никаких придуманных отсутствующих тиражей, замен предыдущим полным днём или самовольных пропусков.</x:v>
      </x:c>
    </x:row>
    <x:row r="9">
      <x:c r="A9" s="21" t="str">
        <x:v>6</x:v>
      </x:c>
      <x:c r="B9" s="26" t="str">
        <x:v>Отдельные матрицы ведутся для A, B, C. Первый столб — дата, затем день недели, верхняя строка — время.</x:v>
      </x:c>
    </x:row>
    <x:row r="10">
      <x:c r="A10" s="21" t="str">
        <x:v>7</x:v>
      </x:c>
      <x:c r="B10" s="26" t="str">
        <x:v>После факта в ячейке матрицы фиксируются: реальная цифра и ВСЕ критерии прогноза, которые дали эту цифру в точной позиции.</x:v>
      </x:c>
    </x:row>
    <x:row r="11">
      <x:c r="A11" s="21" t="str">
        <x:v>8</x:v>
      </x:c>
      <x:c r="B11" s="26" t="str">
        <x:v>Если точного позиционного критерия не было, в ячейке фиксируется «—».</x:v>
      </x:c>
    </x:row>
    <x:row r="12">
      <x:c r="A12" s="21" t="str">
        <x:v>9</x:v>
      </x:c>
      <x:c r="B12" s="26" t="str">
        <x:v>После каждого тиража в сообщении отдельно писать, по каким критериям отбора вышел прошлый факт.</x:v>
      </x:c>
    </x:row>
    <x:row r="13">
      <x:c r="A13" s="21" t="str">
        <x:v>10</x:v>
      </x:c>
      <x:c r="B13" s="26" t="str">
        <x:v>TOP ЮЛЯ, Δ→TOP-3, ЧИСЛА→TOP-3, Доп. №1/№2/№3, сканер повторов и запаздывающий выход продолжают работать по прежним законам.</x:v>
      </x:c>
    </x:row>
    <x:row r="14">
      <x:c r="A14" s="21" t="str">
        <x:v>11</x:v>
      </x:c>
      <x:c r="B14" s="26" t="str">
        <x:v>Новое правило ДОБАВЛЯЕТ наблюдение и журналирование; оно не отменяет и не изменяет старые правила отбора.</x:v>
      </x:c>
    </x:row>
    <x:row r="15">
      <x:c r="A15" s="21" t="str">
        <x:v>12</x:v>
      </x:c>
      <x:c r="B15" s="26" t="str">
        <x:v>До введения этого закона сырые pre-selection варианты прошлых тиражей не восстанавливаются задним числом и не придумываются.</x:v>
      </x:c>
    </x:row>
    <x:row r="16" ht="42" customHeight="1">
      <x:c r="A16" s="62" t="str">
        <x:v>13</x:v>
      </x:c>
      <x:c r="B16" s="66" t="str">
        <x:v>Каждый зафиксированный прогноз после выдачи становится АРХИВОМ ПРОГНОЗОВ и отслеживается 24 часа от времени тиража, на который он был выдан.</x:v>
      </x:c>
    </x:row>
    <x:row r="17" ht="42" customHeight="1">
      <x:c r="A17" s="62" t="str">
        <x:v>14</x:v>
      </x:c>
      <x:c r="B17" s="66" t="str">
        <x:v>Т3 = полное совпадение трёх цифр в точном порядке и в тех же столбцах A/B/C.</x:v>
      </x:c>
    </x:row>
    <x:row r="18" ht="42" customHeight="1">
      <x:c r="A18" s="62" t="str">
        <x:v>15</x:v>
      </x:c>
      <x:c r="B18" s="66" t="str">
        <x:v>Л3 = совпали все три цифры как мультимножество, но порядок/столбцы отличаются. Повторяющиеся цифры учитываются точно.</x:v>
      </x:c>
    </x:row>
    <x:row r="19" ht="42" customHeight="1">
      <x:c r="A19" s="62" t="str">
        <x:v>16</x:v>
      </x:c>
      <x:c r="B19" s="66" t="str">
        <x:v>Каждый Т3/Л3 заносится в МАТРИЦУ ПОПАДАНИЙ в ячейку ФАКТИЧЕСКОГО выхода: дата выхода × время выхода, а не в ячейку времени исходного прогноза.</x:v>
      </x:c>
    </x:row>
    <x:row r="20" ht="42" customHeight="1">
      <x:c r="A20" s="62" t="str">
        <x:v>17</x:v>
      </x:c>
      <x:c r="B20" s="66" t="str">
        <x:v>В записи попадания обязательно указываются: Т3/Л3, фактическая комбинация, архивный прогноз, метод/вариант, на какую дату/время прогноз был выдан, фактическое время выхода и задержка.</x:v>
      </x:c>
    </x:row>
    <x:row r="21" ht="42" customHeight="1">
      <x:c r="A21" s="62" t="str">
        <x:v>18</x:v>
      </x:c>
      <x:c r="B21" s="66" t="str">
        <x:v>В течение 24 часов от каждого прогноза проверяются ВСЕ последующие фактические тиражи. Если одна фактическая комбинация совпала с несколькими архивными прогнозами/методами — фиксируются все совпадения.</x:v>
      </x:c>
    </x:row>
    <x:row r="22" ht="42" customHeight="1">
      <x:c r="A22" s="62" t="str">
        <x:v>19</x:v>
      </x:c>
      <x:c r="B22" s="66" t="str">
        <x:v>Прогнозы задним числом не меняются. Новый блок пока служит для накопления базы, анализа задержек, повторных выходов и связи «метод → время выхода». Применение найденной закономерности к отбору — только после отдельного зафиксированного правила.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13" t="str">
        <x:v>Дата</x:v>
      </x:c>
      <x:c r="B1" s="13" t="str">
        <x:v>День недели</x:v>
      </x:c>
      <x:c r="C1" s="13" t="str">
        <x:v>02:40</x:v>
      </x:c>
      <x:c r="D1" s="13" t="str">
        <x:v>04:40</x:v>
      </x:c>
      <x:c r="E1" s="13" t="str">
        <x:v>06:40</x:v>
      </x:c>
      <x:c r="F1" s="13" t="str">
        <x:v>07:40</x:v>
      </x:c>
      <x:c r="G1" s="13" t="str">
        <x:v>09:40</x:v>
      </x:c>
      <x:c r="H1" s="13" t="str">
        <x:v>11:40</x:v>
      </x:c>
      <x:c r="I1" s="13" t="str">
        <x:v>13:40</x:v>
      </x:c>
      <x:c r="J1" s="13" t="str">
        <x:v>16:25</x:v>
      </x:c>
      <x:c r="K1" s="13" t="str">
        <x:v>21:25</x:v>
      </x:c>
      <x:c r="L1" s="13" t="str">
        <x:v>22:40</x:v>
      </x:c>
    </x:row>
    <x:row r="2" ht="72" customHeight="1">
      <x:c r="A2" s="33" t="n">
        <x:v>46253</x:v>
      </x:c>
      <x:c r="B2" s="21" t="str">
        <x:v>Среда</x:v>
      </x:c>
      <x:c r="C2" s="40" t="str">
        <x:v>Факт: 7
Критерии: 📈 Запаздывающий</x:v>
      </x:c>
      <x:c r="D2" s="40" t="str">
        <x:v>Факт: 2
Критерии: —</x:v>
      </x:c>
      <x:c r="E2" s="40" t="str">
        <x:v>Факт: 1
Критерии: 📈 Запаздывающий</x:v>
      </x:c>
      <x:c r="F2" s="40" t="str">
        <x:v>Факт: 1
Критерии: ЧИСЛА · Вариант 1; ЧИСЛА · Вариант 2</x:v>
      </x:c>
      <x:c r="G2" s="40" t="str">
        <x:v>Факт: 6
Критерии: TOP · Вариант 1; TOP · Вариант 2; Δ · Вариант 2</x:v>
      </x:c>
      <x:c r="H2" s="40" t="str">
        <x:v>Факт: 7
Критерии: TOP · Доп. Г→Г; ЧИСЛА · Доп. Г→Г</x:v>
      </x:c>
      <x:c r="I2" s="40" t="str">
        <x:v>Факт: 8
Критерии: Δ · Вариант 2; ЧИСЛА · Вариант 3; Доп. №2</x:v>
      </x:c>
      <x:c r="J2" s="40" t="str">
        <x:v>Факт: 6
Критерии: —</x:v>
      </x:c>
      <x:c r="K2" s="40" t="str">
        <x:v>Факт: 7
Критерии: ЧИСЛА · Вариант 1; ЧИСЛА · Вариант 2</x:v>
      </x:c>
      <x:c r="L2" s="40" t="str">
        <x:v>Факт: 0
Критерии: Δ · Вариант 1; Δ · Вариант 2</x:v>
      </x:c>
    </x:row>
    <x:row r="3" ht="72" customHeight="1">
      <x:c r="A3" s="57" t="n">
        <x:v>46254</x:v>
      </x:c>
      <x:c r="B3" s="58" t="str">
        <x:v>Четверг</x:v>
      </x:c>
      <x:c r="C3" s="40" t="str"/>
      <x:c r="D3" s="40" t="str"/>
      <x:c r="E3" s="40" t="str"/>
      <x:c r="F3" s="40" t="str"/>
      <x:c r="G3" s="40" t="str"/>
      <x:c r="H3" s="40" t="str"/>
      <x:c r="I3" s="40" t="str"/>
      <x:c r="J3" s="40" t="str"/>
      <x:c r="K3" s="40" t="str"/>
      <x:c r="L3" s="40" t="str"/>
    </x:row>
    <x:row r="4"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C5" s="40"/>
      <x:c r="D5" s="40"/>
      <x:c r="E5" s="40"/>
      <x:c r="F5" s="40"/>
      <x:c r="G5" s="40"/>
      <x:c r="H5" s="40"/>
      <x:c r="I5" s="40"/>
      <x:c r="J5" s="40"/>
      <x:c r="K5" s="40"/>
      <x:c r="L5" s="40"/>
    </x:row>
    <x:row r="6"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  <x:row r="101"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</x:row>
    <x:row r="102"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</x:row>
    <x:row r="103"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</x:row>
    <x:row r="104"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</x:row>
    <x:row r="105"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</x:row>
    <x:row r="106"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</x:row>
    <x:row r="107"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</x:row>
    <x:row r="108"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</x:row>
    <x:row r="109"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</x:row>
    <x:row r="110"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</x:row>
    <x:row r="111"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</x:row>
    <x:row r="112"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</x:row>
    <x:row r="113"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</x:row>
    <x:row r="114"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</x:row>
    <x:row r="115"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</x:row>
    <x:row r="116"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</x:row>
    <x:row r="117"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</x:row>
    <x:row r="118"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</x:row>
    <x:row r="119"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</x:row>
    <x:row r="120"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</x:row>
    <x:row r="121"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</x:row>
    <x:row r="122"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</x:row>
    <x:row r="123"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</x:row>
    <x:row r="124"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</x:row>
    <x:row r="125"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</x:row>
    <x:row r="126"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</x:row>
    <x:row r="127"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</x:row>
    <x:row r="128"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</x:row>
    <x:row r="129"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</x:row>
    <x:row r="130"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</x:row>
    <x:row r="131"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</x:row>
    <x:row r="132"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</x:row>
    <x:row r="133"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</x:row>
    <x:row r="134"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</x:row>
    <x:row r="135"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</x:row>
    <x:row r="136"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</x:row>
    <x:row r="137"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</x:row>
    <x:row r="138"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</x:row>
    <x:row r="139"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</x:row>
    <x:row r="140"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</x:row>
    <x:row r="141"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</x:row>
    <x:row r="142"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</x:row>
    <x:row r="143"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</x:row>
    <x:row r="144"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</x:row>
    <x:row r="145"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</x:row>
    <x:row r="146"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</x:row>
    <x:row r="147"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</x:row>
    <x:row r="148"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</x:row>
    <x:row r="149"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</x:row>
    <x:row r="150"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</x:row>
    <x:row r="151"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</x:row>
    <x:row r="152"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</x:row>
    <x:row r="153"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</x:row>
    <x:row r="154"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</x:row>
    <x:row r="155"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</x:row>
    <x:row r="156"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</x:row>
    <x:row r="157"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</x:row>
    <x:row r="158"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</x:row>
    <x:row r="159"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</x:row>
    <x:row r="160"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</x:row>
    <x:row r="161"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</x:row>
    <x:row r="162"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</x:row>
    <x:row r="163"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</x:row>
    <x:row r="164"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</x:row>
    <x:row r="165"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</x:row>
    <x:row r="166"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</x:row>
    <x:row r="167"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</x:row>
    <x:row r="168"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</x:row>
    <x:row r="169"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</x:row>
    <x:row r="170"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</x:row>
    <x:row r="171"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</x:row>
    <x:row r="172"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</x:row>
    <x:row r="173"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</x:row>
    <x:row r="174"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</x:row>
    <x:row r="175"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</x:row>
    <x:row r="176"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</x:row>
    <x:row r="177"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</x:row>
    <x:row r="178"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</x:row>
    <x:row r="179"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</x:row>
    <x:row r="180"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</x:row>
    <x:row r="181"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</x:row>
    <x:row r="182"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</x:row>
    <x:row r="183"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</x:row>
    <x:row r="184"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</x:row>
    <x:row r="185"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</x:row>
    <x:row r="186"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</x:row>
    <x:row r="187"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</x:row>
    <x:row r="188"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</x:row>
    <x:row r="189"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</x:row>
    <x:row r="190"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</x:row>
    <x:row r="191"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</x:row>
    <x:row r="192"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</x:row>
    <x:row r="193"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</x:row>
    <x:row r="194"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</x:row>
    <x:row r="195"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</x:row>
    <x:row r="196"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</x:row>
    <x:row r="197"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</x:row>
    <x:row r="198"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</x:row>
    <x:row r="199"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</x:row>
    <x:row r="200"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13" t="str">
        <x:v>Дата</x:v>
      </x:c>
      <x:c r="B1" s="13" t="str">
        <x:v>День недели</x:v>
      </x:c>
      <x:c r="C1" s="13" t="str">
        <x:v>02:40</x:v>
      </x:c>
      <x:c r="D1" s="13" t="str">
        <x:v>04:40</x:v>
      </x:c>
      <x:c r="E1" s="13" t="str">
        <x:v>06:40</x:v>
      </x:c>
      <x:c r="F1" s="13" t="str">
        <x:v>07:40</x:v>
      </x:c>
      <x:c r="G1" s="13" t="str">
        <x:v>09:40</x:v>
      </x:c>
      <x:c r="H1" s="13" t="str">
        <x:v>11:40</x:v>
      </x:c>
      <x:c r="I1" s="13" t="str">
        <x:v>13:40</x:v>
      </x:c>
      <x:c r="J1" s="13" t="str">
        <x:v>16:25</x:v>
      </x:c>
      <x:c r="K1" s="13" t="str">
        <x:v>21:25</x:v>
      </x:c>
      <x:c r="L1" s="13" t="str">
        <x:v>22:40</x:v>
      </x:c>
    </x:row>
    <x:row r="2" ht="72" customHeight="1">
      <x:c r="A2" s="33" t="n">
        <x:v>46253</x:v>
      </x:c>
      <x:c r="B2" s="21" t="str">
        <x:v>Среда</x:v>
      </x:c>
      <x:c r="C2" s="40" t="str">
        <x:v>Факт: 9
Критерии: —</x:v>
      </x:c>
      <x:c r="D2" s="40" t="str">
        <x:v>Факт: 0
Критерии: —</x:v>
      </x:c>
      <x:c r="E2" s="40" t="str">
        <x:v>Факт: 4
Критерии: TOP · Доп. Г→Г; ЧИСЛА · Вариант 3</x:v>
      </x:c>
      <x:c r="F2" s="40" t="str">
        <x:v>Факт: 8
Критерии: ЧИСЛА · Вариант 3</x:v>
      </x:c>
      <x:c r="G2" s="40" t="str">
        <x:v>Факт: 8
Критерии: 📈 Запаздывающий</x:v>
      </x:c>
      <x:c r="H2" s="40" t="str">
        <x:v>Факт: 6
Критерии: 📈 Запаздывающий</x:v>
      </x:c>
      <x:c r="I2" s="40" t="str">
        <x:v>Факт: 7
Критерии: —</x:v>
      </x:c>
      <x:c r="J2" s="40" t="str">
        <x:v>Факт: 7
Критерии: Δ · Доп. Г→Г; Доп. №1; Доп. №3</x:v>
      </x:c>
      <x:c r="K2" s="40" t="str">
        <x:v>Факт: 6
Критерии: TOP · Доп. Г→Г; ЧИСЛА · Вариант 1; ЧИСЛА · Вариант 2; Доп. №2; Доп. №3; 🔎 Сканер повторов</x:v>
      </x:c>
      <x:c r="L2" s="40" t="str">
        <x:v>Факт: 1
Критерии: Δ · Вариант 2; 🔎 Сканер повторов</x:v>
      </x:c>
    </x:row>
    <x:row r="3" ht="72" customHeight="1">
      <x:c r="A3" s="57" t="n">
        <x:v>46254</x:v>
      </x:c>
      <x:c r="B3" s="58" t="str">
        <x:v>Четверг</x:v>
      </x:c>
      <x:c r="C3" s="40" t="str"/>
      <x:c r="D3" s="40" t="str"/>
      <x:c r="E3" s="40" t="str"/>
      <x:c r="F3" s="40" t="str"/>
      <x:c r="G3" s="40" t="str"/>
      <x:c r="H3" s="40" t="str"/>
      <x:c r="I3" s="40" t="str"/>
      <x:c r="J3" s="40" t="str"/>
      <x:c r="K3" s="40" t="str"/>
      <x:c r="L3" s="40" t="str"/>
    </x:row>
    <x:row r="4"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C5" s="40"/>
      <x:c r="D5" s="40"/>
      <x:c r="E5" s="40"/>
      <x:c r="F5" s="40"/>
      <x:c r="G5" s="40"/>
      <x:c r="H5" s="40"/>
      <x:c r="I5" s="40"/>
      <x:c r="J5" s="40"/>
      <x:c r="K5" s="40"/>
      <x:c r="L5" s="40"/>
    </x:row>
    <x:row r="6"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  <x:row r="101"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</x:row>
    <x:row r="102"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</x:row>
    <x:row r="103"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</x:row>
    <x:row r="104"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</x:row>
    <x:row r="105"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</x:row>
    <x:row r="106"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</x:row>
    <x:row r="107"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</x:row>
    <x:row r="108"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</x:row>
    <x:row r="109"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</x:row>
    <x:row r="110"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</x:row>
    <x:row r="111"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</x:row>
    <x:row r="112"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</x:row>
    <x:row r="113"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</x:row>
    <x:row r="114"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</x:row>
    <x:row r="115"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</x:row>
    <x:row r="116"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</x:row>
    <x:row r="117"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</x:row>
    <x:row r="118"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</x:row>
    <x:row r="119"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</x:row>
    <x:row r="120"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</x:row>
    <x:row r="121"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</x:row>
    <x:row r="122"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</x:row>
    <x:row r="123"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</x:row>
    <x:row r="124"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</x:row>
    <x:row r="125"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</x:row>
    <x:row r="126"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</x:row>
    <x:row r="127"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</x:row>
    <x:row r="128"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</x:row>
    <x:row r="129"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</x:row>
    <x:row r="130"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</x:row>
    <x:row r="131"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</x:row>
    <x:row r="132"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</x:row>
    <x:row r="133"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</x:row>
    <x:row r="134"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</x:row>
    <x:row r="135"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</x:row>
    <x:row r="136"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</x:row>
    <x:row r="137"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</x:row>
    <x:row r="138"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</x:row>
    <x:row r="139"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</x:row>
    <x:row r="140"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</x:row>
    <x:row r="141"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</x:row>
    <x:row r="142"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</x:row>
    <x:row r="143"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</x:row>
    <x:row r="144"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</x:row>
    <x:row r="145"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</x:row>
    <x:row r="146"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</x:row>
    <x:row r="147"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</x:row>
    <x:row r="148"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</x:row>
    <x:row r="149"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</x:row>
    <x:row r="150"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</x:row>
    <x:row r="151"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</x:row>
    <x:row r="152"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</x:row>
    <x:row r="153"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</x:row>
    <x:row r="154"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</x:row>
    <x:row r="155"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</x:row>
    <x:row r="156"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</x:row>
    <x:row r="157"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</x:row>
    <x:row r="158"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</x:row>
    <x:row r="159"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</x:row>
    <x:row r="160"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</x:row>
    <x:row r="161"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</x:row>
    <x:row r="162"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</x:row>
    <x:row r="163"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</x:row>
    <x:row r="164"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</x:row>
    <x:row r="165"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</x:row>
    <x:row r="166"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</x:row>
    <x:row r="167"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</x:row>
    <x:row r="168"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</x:row>
    <x:row r="169"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</x:row>
    <x:row r="170"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</x:row>
    <x:row r="171"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</x:row>
    <x:row r="172"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</x:row>
    <x:row r="173"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</x:row>
    <x:row r="174"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</x:row>
    <x:row r="175"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</x:row>
    <x:row r="176"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</x:row>
    <x:row r="177"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</x:row>
    <x:row r="178"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</x:row>
    <x:row r="179"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</x:row>
    <x:row r="180"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</x:row>
    <x:row r="181"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</x:row>
    <x:row r="182"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</x:row>
    <x:row r="183"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</x:row>
    <x:row r="184"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</x:row>
    <x:row r="185"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</x:row>
    <x:row r="186"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</x:row>
    <x:row r="187"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</x:row>
    <x:row r="188"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</x:row>
    <x:row r="189"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</x:row>
    <x:row r="190"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</x:row>
    <x:row r="191"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</x:row>
    <x:row r="192"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</x:row>
    <x:row r="193"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</x:row>
    <x:row r="194"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</x:row>
    <x:row r="195"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</x:row>
    <x:row r="196"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</x:row>
    <x:row r="197"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</x:row>
    <x:row r="198"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</x:row>
    <x:row r="199"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</x:row>
    <x:row r="200"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13" t="str">
        <x:v>Дата</x:v>
      </x:c>
      <x:c r="B1" s="13" t="str">
        <x:v>День недели</x:v>
      </x:c>
      <x:c r="C1" s="13" t="str">
        <x:v>02:40</x:v>
      </x:c>
      <x:c r="D1" s="13" t="str">
        <x:v>04:40</x:v>
      </x:c>
      <x:c r="E1" s="13" t="str">
        <x:v>06:40</x:v>
      </x:c>
      <x:c r="F1" s="13" t="str">
        <x:v>07:40</x:v>
      </x:c>
      <x:c r="G1" s="13" t="str">
        <x:v>09:40</x:v>
      </x:c>
      <x:c r="H1" s="13" t="str">
        <x:v>11:40</x:v>
      </x:c>
      <x:c r="I1" s="13" t="str">
        <x:v>13:40</x:v>
      </x:c>
      <x:c r="J1" s="13" t="str">
        <x:v>16:25</x:v>
      </x:c>
      <x:c r="K1" s="13" t="str">
        <x:v>21:25</x:v>
      </x:c>
      <x:c r="L1" s="13" t="str">
        <x:v>22:40</x:v>
      </x:c>
    </x:row>
    <x:row r="2" ht="72" customHeight="1">
      <x:c r="A2" s="33" t="n">
        <x:v>46253</x:v>
      </x:c>
      <x:c r="B2" s="21" t="str">
        <x:v>Среда</x:v>
      </x:c>
      <x:c r="C2" s="40" t="str">
        <x:v>Факт: 5
Критерии: Δ · Вариант 3</x:v>
      </x:c>
      <x:c r="D2" s="40" t="str">
        <x:v>Факт: 2
Критерии: —</x:v>
      </x:c>
      <x:c r="E2" s="40" t="str">
        <x:v>Факт: 8
Критерии: Δ · Вариант 3</x:v>
      </x:c>
      <x:c r="F2" s="40" t="str">
        <x:v>Факт: 0
Критерии: —</x:v>
      </x:c>
      <x:c r="G2" s="40" t="str">
        <x:v>Факт: 8
Критерии: Δ · Вариант 2</x:v>
      </x:c>
      <x:c r="H2" s="40" t="str">
        <x:v>Факт: 8
Критерии: Δ · Доп. Г→Г</x:v>
      </x:c>
      <x:c r="I2" s="40" t="str">
        <x:v>Факт: 7
Критерии: TOP · Вариант 1; TOP · Вариант 2; 🔎 Сканер повторов</x:v>
      </x:c>
      <x:c r="J2" s="40" t="str">
        <x:v>Факт: 0
Критерии: TOP · Доп. Г→Г; Доп. №2</x:v>
      </x:c>
      <x:c r="K2" s="40" t="str">
        <x:v>Факт: 1
Критерии: Δ · Доп. Г→Г</x:v>
      </x:c>
      <x:c r="L2" s="40" t="str">
        <x:v>Факт: 5
Критерии: TOP · Вариант 3; Δ · Вариант 1; Δ · Вариант 2; ЧИСЛА · Доп. Г→Г</x:v>
      </x:c>
    </x:row>
    <x:row r="3" ht="72" customHeight="1">
      <x:c r="A3" s="57" t="n">
        <x:v>46254</x:v>
      </x:c>
      <x:c r="B3" s="58" t="str">
        <x:v>Четверг</x:v>
      </x:c>
      <x:c r="C3" s="40" t="str"/>
      <x:c r="D3" s="40" t="str"/>
      <x:c r="E3" s="40" t="str"/>
      <x:c r="F3" s="40" t="str"/>
      <x:c r="G3" s="40" t="str"/>
      <x:c r="H3" s="40" t="str"/>
      <x:c r="I3" s="40" t="str"/>
      <x:c r="J3" s="40" t="str"/>
      <x:c r="K3" s="40" t="str"/>
      <x:c r="L3" s="40" t="str"/>
    </x:row>
    <x:row r="4"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C5" s="40"/>
      <x:c r="D5" s="40"/>
      <x:c r="E5" s="40"/>
      <x:c r="F5" s="40"/>
      <x:c r="G5" s="40"/>
      <x:c r="H5" s="40"/>
      <x:c r="I5" s="40"/>
      <x:c r="J5" s="40"/>
      <x:c r="K5" s="40"/>
      <x:c r="L5" s="40"/>
    </x:row>
    <x:row r="6"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  <x:row r="101"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</x:row>
    <x:row r="102"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</x:row>
    <x:row r="103"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</x:row>
    <x:row r="104"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</x:row>
    <x:row r="105"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</x:row>
    <x:row r="106"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</x:row>
    <x:row r="107"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</x:row>
    <x:row r="108"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</x:row>
    <x:row r="109"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</x:row>
    <x:row r="110"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</x:row>
    <x:row r="111"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</x:row>
    <x:row r="112"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</x:row>
    <x:row r="113"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</x:row>
    <x:row r="114"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</x:row>
    <x:row r="115"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</x:row>
    <x:row r="116"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</x:row>
    <x:row r="117"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</x:row>
    <x:row r="118"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</x:row>
    <x:row r="119"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</x:row>
    <x:row r="120"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</x:row>
    <x:row r="121"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</x:row>
    <x:row r="122"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</x:row>
    <x:row r="123"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</x:row>
    <x:row r="124"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</x:row>
    <x:row r="125"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</x:row>
    <x:row r="126"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</x:row>
    <x:row r="127"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</x:row>
    <x:row r="128"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</x:row>
    <x:row r="129"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</x:row>
    <x:row r="130"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</x:row>
    <x:row r="131"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</x:row>
    <x:row r="132"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</x:row>
    <x:row r="133"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</x:row>
    <x:row r="134"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</x:row>
    <x:row r="135"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</x:row>
    <x:row r="136"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</x:row>
    <x:row r="137"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</x:row>
    <x:row r="138"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</x:row>
    <x:row r="139"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</x:row>
    <x:row r="140"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</x:row>
    <x:row r="141"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</x:row>
    <x:row r="142"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</x:row>
    <x:row r="143"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</x:row>
    <x:row r="144"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</x:row>
    <x:row r="145"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</x:row>
    <x:row r="146"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</x:row>
    <x:row r="147"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</x:row>
    <x:row r="148"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</x:row>
    <x:row r="149"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</x:row>
    <x:row r="150"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</x:row>
    <x:row r="151"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</x:row>
    <x:row r="152"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</x:row>
    <x:row r="153"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</x:row>
    <x:row r="154"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</x:row>
    <x:row r="155"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</x:row>
    <x:row r="156"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</x:row>
    <x:row r="157"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</x:row>
    <x:row r="158"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</x:row>
    <x:row r="159"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</x:row>
    <x:row r="160"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</x:row>
    <x:row r="161"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</x:row>
    <x:row r="162"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</x:row>
    <x:row r="163"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</x:row>
    <x:row r="164"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</x:row>
    <x:row r="165"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</x:row>
    <x:row r="166"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</x:row>
    <x:row r="167"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</x:row>
    <x:row r="168"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</x:row>
    <x:row r="169"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</x:row>
    <x:row r="170"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</x:row>
    <x:row r="171"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</x:row>
    <x:row r="172"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</x:row>
    <x:row r="173"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</x:row>
    <x:row r="174"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</x:row>
    <x:row r="175"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</x:row>
    <x:row r="176"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</x:row>
    <x:row r="177"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</x:row>
    <x:row r="178"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</x:row>
    <x:row r="179"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</x:row>
    <x:row r="180"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</x:row>
    <x:row r="181"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</x:row>
    <x:row r="182"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</x:row>
    <x:row r="183"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</x:row>
    <x:row r="184"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</x:row>
    <x:row r="185"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</x:row>
    <x:row r="186"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</x:row>
    <x:row r="187"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</x:row>
    <x:row r="188"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</x:row>
    <x:row r="189"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</x:row>
    <x:row r="190"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</x:row>
    <x:row r="191"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</x:row>
    <x:row r="192"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</x:row>
    <x:row r="193"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</x:row>
    <x:row r="194"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</x:row>
    <x:row r="195"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</x:row>
    <x:row r="196"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</x:row>
    <x:row r="197"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</x:row>
    <x:row r="198"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</x:row>
    <x:row r="199"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</x:row>
    <x:row r="200"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</x:cols>
  <x:sheetData>
    <x:row r="1">
      <x:c r="A1" s="46" t="str">
        <x:v>Дата</x:v>
      </x:c>
      <x:c r="B1" s="46" t="str">
        <x:v>День недели</x:v>
      </x:c>
      <x:c r="C1" s="46" t="str">
        <x:v>Время прогноза</x:v>
      </x:c>
      <x:c r="D1" s="46" t="str">
        <x:v>Последний факт</x:v>
      </x:c>
      <x:c r="E1" s="46" t="str">
        <x:v>Горизонталь 6</x:v>
      </x:c>
      <x:c r="F1" s="46" t="str">
        <x:v>TOP A · все до выбора</x:v>
      </x:c>
      <x:c r="G1" s="46" t="str">
        <x:v>TOP B · все до выбора</x:v>
      </x:c>
      <x:c r="H1" s="46" t="str">
        <x:v>TOP C · все до выбора</x:v>
      </x:c>
      <x:c r="I1" s="46" t="str">
        <x:v>Δ A · все до выбора</x:v>
      </x:c>
      <x:c r="J1" s="46" t="str">
        <x:v>Δ B · все до выбора</x:v>
      </x:c>
      <x:c r="K1" s="46" t="str">
        <x:v>Δ C · все до выбора</x:v>
      </x:c>
      <x:c r="L1" s="46" t="str">
        <x:v>ЧИСЛА A · все до выбора</x:v>
      </x:c>
      <x:c r="M1" s="46" t="str">
        <x:v>ЧИСЛА B · все до выбора</x:v>
      </x:c>
      <x:c r="N1" s="46" t="str">
        <x:v>ЧИСЛА C · все до выбора</x:v>
      </x:c>
      <x:c r="O1" s="46" t="str">
        <x:v>TOP В1</x:v>
      </x:c>
      <x:c r="P1" s="46" t="str">
        <x:v>TOP В2</x:v>
      </x:c>
      <x:c r="Q1" s="46" t="str">
        <x:v>TOP В3</x:v>
      </x:c>
      <x:c r="R1" s="46" t="str">
        <x:v>TOP Г→Г</x:v>
      </x:c>
      <x:c r="S1" s="46" t="str">
        <x:v>Δ В1</x:v>
      </x:c>
      <x:c r="T1" s="46" t="str">
        <x:v>Δ В2</x:v>
      </x:c>
      <x:c r="U1" s="46" t="str">
        <x:v>Δ В3</x:v>
      </x:c>
      <x:c r="V1" s="46" t="str">
        <x:v>Δ Г→Г</x:v>
      </x:c>
      <x:c r="W1" s="46" t="str">
        <x:v>ЧИСЛА В1</x:v>
      </x:c>
      <x:c r="X1" s="46" t="str">
        <x:v>ЧИСЛА В2</x:v>
      </x:c>
      <x:c r="Y1" s="46" t="str">
        <x:v>ЧИСЛА В3</x:v>
      </x:c>
      <x:c r="Z1" s="46" t="str">
        <x:v>ЧИСЛА Г→Г</x:v>
      </x:c>
      <x:c r="AA1" s="46" t="str">
        <x:v>Доп №1</x:v>
      </x:c>
      <x:c r="AB1" s="46" t="str">
        <x:v>Доп №2</x:v>
      </x:c>
      <x:c r="AC1" s="46" t="str">
        <x:v>Доп №3</x:v>
      </x:c>
      <x:c r="AD1" s="46" t="str">
        <x:v>Сканер</x:v>
      </x:c>
      <x:c r="AE1" s="46" t="str">
        <x:v>Запаздывающий</x:v>
      </x:c>
      <x:c r="AF1" s="46" t="str">
        <x:v>Факт тиража</x:v>
      </x:c>
      <x:c r="AG1" s="46" t="str">
        <x:v>A · критерии факта</x:v>
      </x:c>
      <x:c r="AH1" s="46" t="str">
        <x:v>B · критерии факта</x:v>
      </x:c>
      <x:c r="AI1" s="46" t="str">
        <x:v>C · критерии факта</x:v>
      </x:c>
      <x:c r="AJ1" s="46" t="str">
        <x:v>Примечание</x:v>
      </x:c>
    </x:row>
    <x:row r="2" ht="64" customHeight="1">
      <x:c r="A2" s="47" t="n">
        <x:v>46253</x:v>
      </x:c>
      <x:c r="B2" s="38" t="str">
        <x:v>Среда</x:v>
      </x:c>
      <x:c r="C2" s="38" t="str">
        <x:v>16:25</x:v>
      </x:c>
      <x:c r="D2" s="38" t="str">
        <x:v>877</x:v>
      </x:c>
      <x:c r="E2" s="38" t="str">
        <x:v>202 → 148 → 180 → 688 → 768 → 877</x:v>
      </x:c>
      <x:c r="F2" s="38" t="str">
        <x:v>Не сохранено до введения закона</x:v>
      </x:c>
      <x:c r="G2" s="38" t="str">
        <x:v>Не сохранено до введения закона</x:v>
      </x:c>
      <x:c r="H2" s="38" t="str">
        <x:v>Не сохранено до введения закона</x:v>
      </x:c>
      <x:c r="I2" s="38" t="str">
        <x:v>Не сохранено до введения закона</x:v>
      </x:c>
      <x:c r="J2" s="38" t="str">
        <x:v>Не сохранено до введения закона</x:v>
      </x:c>
      <x:c r="K2" s="38" t="str">
        <x:v>Не сохранено до введения закона</x:v>
      </x:c>
      <x:c r="L2" s="38" t="str">
        <x:v>Не сохранено до введения закона</x:v>
      </x:c>
      <x:c r="M2" s="38" t="str">
        <x:v>Не сохранено до введения закона</x:v>
      </x:c>
      <x:c r="N2" s="38" t="str">
        <x:v>Не сохранено до введения закона</x:v>
      </x:c>
      <x:c r="O2" s="38" t="str">
        <x:v>301</x:v>
      </x:c>
      <x:c r="P2" s="38" t="str">
        <x:v>306</x:v>
      </x:c>
      <x:c r="Q2" s="38" t="str">
        <x:v>119</x:v>
      </x:c>
      <x:c r="R2" s="38" t="str">
        <x:v>300</x:v>
      </x:c>
      <x:c r="S2" s="38" t="str">
        <x:v>335</x:v>
      </x:c>
      <x:c r="T2" s="38" t="str">
        <x:v>336</x:v>
      </x:c>
      <x:c r="U2" s="38" t="str">
        <x:v>148</x:v>
      </x:c>
      <x:c r="V2" s="38" t="str">
        <x:v>374</x:v>
      </x:c>
      <x:c r="W2" s="38" t="str">
        <x:v>092</x:v>
      </x:c>
      <x:c r="X2" s="38" t="str">
        <x:v>002</x:v>
      </x:c>
      <x:c r="Y2" s="38" t="str">
        <x:v>414</x:v>
      </x:c>
      <x:c r="Z2" s="38" t="str">
        <x:v>502</x:v>
      </x:c>
      <x:c r="AA2" s="38" t="str">
        <x:v>276</x:v>
      </x:c>
      <x:c r="AB2" s="38" t="str">
        <x:v>300</x:v>
      </x:c>
      <x:c r="AC2" s="38" t="str">
        <x:v>376</x:v>
      </x:c>
      <x:c r="AD2" s="38" t="str">
        <x:v>322</x:v>
      </x:c>
      <x:c r="AE2" s="38" t="str">
        <x:v>868</x:v>
      </x:c>
      <x:c r="AF2" s="38" t="str">
        <x:v>670</x:v>
      </x:c>
      <x:c r="AG2" s="38" t="str">
        <x:v>—</x:v>
      </x:c>
      <x:c r="AH2" s="38" t="str">
        <x:v>Δ · Доп. Г→Г; Доп. №1; Доп. №3</x:v>
      </x:c>
      <x:c r="AI2" s="38" t="str">
        <x:v>TOP · Доп. Г→Г; Доп. №2</x:v>
      </x:c>
      <x:c r="AJ2" s="38" t="str">
        <x:v>Факт 19.08.2026 16:25 = 670. Критерии зафиксированы только по точной позиции.</x:v>
      </x:c>
    </x:row>
    <x:row r="3" ht="95" customHeight="1">
      <x:c r="A3" s="47" t="n">
        <x:v>46253</x:v>
      </x:c>
      <x:c r="B3" s="38" t="str">
        <x:v>Среда</x:v>
      </x:c>
      <x:c r="C3" s="38" t="str">
        <x:v>21:25</x:v>
      </x:c>
      <x:c r="D3" s="38" t="str">
        <x:v>670</x:v>
      </x:c>
      <x:c r="E3" s="38" t="str">
        <x:v>148 → 180 → 688 → 768 → 877 → 670</x:v>
      </x:c>
      <x:c r="F3" s="38" t="str">
        <x:v>VV L6: 4×1 | VH L5: 8×1 | HV L4: 6×2, 5×2, 1×1, 4×1, 7×1 | HH L4: 2×2, 0×1, 6×1, 4×1, 3×1</x:v>
      </x:c>
      <x:c r="G3" s="38" t="str">
        <x:v>VV L4: 0×2, 3×1 | VH L4: 2×1, 7×1, 6×1 | HV L5: 9×1 | HH L5: 4×1, 9×1</x:v>
      </x:c>
      <x:c r="H3" s="38" t="str">
        <x:v>VV L6: 8×1 | VH L4: 8×2, 3×1, 5×1 | HV L4: 8×2, 5×2, 3×1, 0×1, 1×1, 4×1 | HH L5: 7×1, 2×1, 6×1</x:v>
      </x:c>
      <x:c r="I3" s="38" t="str">
        <x:v>VV L5 raw[3×1]→+6[9×1] | VH L4 raw[5×2,6×1]→+6[1×2,2×1] | HV L4 raw[7×3,0×1,8×1,4×1]→+6[3×3,6×1,4×1,0×1] | HH L4 raw[6×2,8×2,9×1,0×1,2×1]→+6[2×2,4×2,5×1,6×1,8×1]</x:v>
      </x:c>
      <x:c r="J3" s="38" t="str">
        <x:v>VV L5 raw[2×1]→+7[9×1] | VH L3 raw[8×8,4×8,7×7,0×6,3×5,1×5,5×4,2×4,6×4,9×3]→+7[5×8,1×8,4×7,7×6,0×5,8×5,2×4,9×4,3×4,6×3] | HV L4 raw[1×3,6×2,7×2,2×1,9×1]→+7[8×3,3×2,4×2,9×1,6×1] | HH L6 raw[2×1]→+7[9×1]</x:v>
      </x:c>
      <x:c r="K3" s="38" t="str">
        <x:v>VV L4 raw[6×2,5×1,8×1,0×1] | VH L5 raw[5×1,1×1] | HV L4 raw[0×2,6×1,4×1] | HH L4 raw[6×2,3×2,7×1,0×1,2×1,8×1]</x:v>
      </x:c>
      <x:c r="L3" s="38" t="str">
        <x:v>VV L5 raw[1×1]→+6[7×1] | VH L5 raw[2×1]→+6[8×1] | HV L5 raw[8×1]→+6[4×1] | HH L5 raw[3×1]→+6[9×1]</x:v>
      </x:c>
      <x:c r="M3" s="38" t="str">
        <x:v>VV L4 raw[4×3,8×1,1×1,9×1]→+7[1×3,5×1,8×1,6×1] | VH L5 raw[9×1]→+7[6×1] | HV L4 raw[6×1,4×1,9×1]→+7[3×1,1×1,6×1] | HH L3 raw[0×7,1×6,7×5,9×5,4×4,5×4,6×3,2×3,3×2,8×2]→+7[7×7,8×6,4×5,6×5,1×4,2×4,3×3,9×3,0×2,5×2]</x:v>
      </x:c>
      <x:c r="N3" s="38" t="str">
        <x:v>VV L5 raw[3×1,7×1] | VH L4 raw[2×1,3×1,8×1,5×1] | HV L5 raw[3×1,6×1] | HH L5 raw[5×1]</x:v>
      </x:c>
      <x:c r="O3" s="38" t="str">
        <x:v>498</x:v>
      </x:c>
      <x:c r="P3" s="38" t="str">
        <x:v>498</x:v>
      </x:c>
      <x:c r="Q3" s="38" t="str">
        <x:v>374</x:v>
      </x:c>
      <x:c r="R3" s="38" t="str">
        <x:v>269</x:v>
      </x:c>
      <x:c r="S3" s="38" t="str">
        <x:v>296</x:v>
      </x:c>
      <x:c r="T3" s="38" t="str">
        <x:v>446</x:v>
      </x:c>
      <x:c r="U3" s="38" t="str">
        <x:v>522</x:v>
      </x:c>
      <x:c r="V3" s="38" t="str">
        <x:v>091</x:v>
      </x:c>
      <x:c r="W3" s="38" t="str">
        <x:v>763</x:v>
      </x:c>
      <x:c r="X3" s="38" t="str">
        <x:v>763</x:v>
      </x:c>
      <x:c r="Y3" s="38" t="str">
        <x:v>407</x:v>
      </x:c>
      <x:c r="Z3" s="38" t="str">
        <x:v>975</x:v>
      </x:c>
      <x:c r="AA3" s="38" t="str">
        <x:v>106</x:v>
      </x:c>
      <x:c r="AB3" s="38" t="str">
        <x:v>363</x:v>
      </x:c>
      <x:c r="AC3" s="38" t="str">
        <x:v>363</x:v>
      </x:c>
      <x:c r="AD3" s="38" t="str">
        <x:v>566</x:v>
      </x:c>
      <x:c r="AE3" s="38" t="str">
        <x:v>414</x:v>
      </x:c>
      <x:c r="AF3" s="38" t="str">
        <x:v>761</x:v>
      </x:c>
      <x:c r="AG3" s="38" t="str">
        <x:v>ЧИСЛА · Вариант 1; ЧИСЛА · Вариант 2</x:v>
      </x:c>
      <x:c r="AH3" s="38" t="str">
        <x:v>TOP · Доп. Г→Г; ЧИСЛА · Вариант 1; ЧИСЛА · Вариант 2; Доп. №2; Доп. №3; 🔎 Сканер повторов</x:v>
      </x:c>
      <x:c r="AI3" s="38" t="str">
        <x:v>Δ · Доп. Г→Г</x:v>
      </x:c>
      <x:c r="AJ3" s="38" t="str">
        <x:v>Факт 19.08.2026 21:25 = 761. Зафиксированы все точные позиционные критерии прошлого прогноза.</x:v>
      </x:c>
    </x:row>
    <x:row r="4" ht="105" customHeight="1">
      <x:c r="A4" s="47" t="n">
        <x:v>46253</x:v>
      </x:c>
      <x:c r="B4" s="38" t="str">
        <x:v>Среда</x:v>
      </x:c>
      <x:c r="C4" s="38" t="str">
        <x:v>22:40</x:v>
      </x:c>
      <x:c r="D4" s="38" t="str">
        <x:v>761</x:v>
      </x:c>
      <x:c r="E4" s="38" t="str">
        <x:v>180 → 688 → 768 → 877 → 670 → 761</x:v>
      </x:c>
      <x:c r="F4" s="38" t="str">
        <x:v>VV L5 [9×1] | VH L4 [6×1, 8×2] | HV L5 [1×1] | HH L4 [2×1, 8×1, 5×2, 6×1, 7×1, 3×1]</x:v>
      </x:c>
      <x:c r="G4" s="38" t="str">
        <x:v>VV L4 [6×1, 9×2, 5×1, 0×3, 7×1] | VH L3 [2×5, 9×5, 0×8, 1×3, 6×4, 4×4, 3×3, 5×4, 7×3, 8×6] | HV L4 [8×1, 5×1, 9×1] | HH L4 [7×1, 1×2, 0×1, 3×1, 2×2, 9×2, 6×2]</x:v>
      </x:c>
      <x:c r="H4" s="38" t="str">
        <x:v>VV L4 [9×2, 3×2, 1×1, 0×1] | VH L4 [1×1, 4×2, 3×1] | HV L5 [6×1] | HH L4 [0×1, 5×1, 6×1, 3×1]</x:v>
      </x:c>
      <x:c r="I4" s="38" t="str">
        <x:v>VV L5 raw[2×1]→+7[9×1] | VH L4 raw[2×1, 8×1, 9×1, 3×1, 0×1]→+7[9×1, 5×1, 6×1, 0×1, 7×1] | HV L4 raw[7×2, 3×1, 8×1, 6×1]→+7[4×2, 0×1, 5×1, 3×1] | HH L4 raw[4×1, 3×1, 6×1]→+7[1×1, 0×1, 3×1]</x:v>
      </x:c>
      <x:c r="J4" s="38" t="str">
        <x:v>VV L5 raw[1×1]→+6[7×1] | VH L4 raw[1×1, 5×3, 8×1]→+6[7×1, 1×3, 4×1] | HV L5 raw[4×1]→+6[0×1] | HH L4 raw[6×2]→+6[2×2]</x:v>
      </x:c>
      <x:c r="K4" s="38" t="str">
        <x:v>VV L4 raw[6×1, 1×1]→+1[7×1, 2×1] | VH L5 raw[5×1]→+1[6×1] | HV L4 raw[1×1, 4×1, 9×1, 2×1]→+1[2×1, 5×1, 0×1, 3×1] | HH L4 raw[7×2, 4×1, 8×2, 9×1]→+1[8×2, 5×1, 9×2, 0×1]</x:v>
      </x:c>
      <x:c r="L4" s="38" t="str">
        <x:v>VV L5 raw[7×1]→+7[4×1] | VH L5 raw[2×1]→+7[9×1] | HV L4 raw[1×1, 9×1, 4×1, 3×2]→+7[8×1, 6×1, 1×1, 0×2] | HH L4 raw[1×3, 0×1, 6×1, 2×1, 3×1]→+7[8×3, 7×1, 3×1, 9×1, 0×1]</x:v>
      </x:c>
      <x:c r="M4" s="38" t="str">
        <x:v>VV L4 raw[0×1, 1×1, 9×1, 5×1, 3×1]→+6[6×1, 7×1, 5×1, 1×1, 9×1] | VH L4 raw[9×1, 8×1, 4×1, 3×1, 7×1]→+6[5×1, 4×1, 0×1, 9×1, 3×1] | HV L5 raw[7×1]→+6[3×1] | HH L4 raw[4×1, 5×1, 1×1, 7×1, 2×1]→+6[0×1, 1×1, 7×1, 3×1, 8×1]</x:v>
      </x:c>
      <x:c r="N4" s="38" t="str">
        <x:v>VV L5 raw[8×1]→+1[9×1] | VH L4 raw[2×3, 3×1, 4×2, 8×1, 7×1]→+1[3×3, 4×1, 5×2, 9×1, 8×1] | HV L5 raw[7×1]→+1[8×1] | HH L4 raw[6×1, 3×1, 1×1, 5×1]→+1[7×1, 4×1, 2×1, 6×1]</x:v>
      </x:c>
      <x:c r="O4" s="38" t="str">
        <x:v>893</x:v>
      </x:c>
      <x:c r="P4" s="38" t="str">
        <x:v>803</x:v>
      </x:c>
      <x:c r="Q4" s="38" t="str">
        <x:v>745</x:v>
      </x:c>
      <x:c r="R4" s="38" t="str">
        <x:v>523</x:v>
      </x:c>
      <x:c r="S4" s="38" t="str">
        <x:v>075</x:v>
      </x:c>
      <x:c r="T4" s="38" t="str">
        <x:v>015</x:v>
      </x:c>
      <x:c r="U4" s="38" t="str">
        <x:v>607</x:v>
      </x:c>
      <x:c r="V4" s="38" t="str">
        <x:v>428</x:v>
      </x:c>
      <x:c r="W4" s="38" t="str">
        <x:v>839</x:v>
      </x:c>
      <x:c r="X4" s="38" t="str">
        <x:v>833</x:v>
      </x:c>
      <x:c r="Y4" s="38" t="str">
        <x:v>687</x:v>
      </x:c>
      <x:c r="Z4" s="38" t="str">
        <x:v>845</x:v>
      </x:c>
      <x:c r="AA4" s="38" t="str">
        <x:v>106</x:v>
      </x:c>
      <x:c r="AB4" s="38" t="str">
        <x:v>123</x:v>
      </x:c>
      <x:c r="AC4" s="38" t="str">
        <x:v>123</x:v>
      </x:c>
      <x:c r="AD4" s="38" t="str">
        <x:v>913</x:v>
      </x:c>
      <x:c r="AE4" s="38" t="str">
        <x:v>407</x:v>
      </x:c>
      <x:c r="AF4" s="38" t="str">
        <x:v>015</x:v>
      </x:c>
      <x:c r="AG4" s="38" t="str">
        <x:v>Δ · Вариант 1; Δ · Вариант 2</x:v>
      </x:c>
      <x:c r="AH4" s="38" t="str">
        <x:v>Δ · Вариант 2; 🔎 Сканер повторов</x:v>
      </x:c>
      <x:c r="AI4" s="38" t="str">
        <x:v>TOP · Вариант 3; Δ · Вариант 1; Δ · Вариант 2; ЧИСЛА · Доп. Г→Г</x:v>
      </x:c>
      <x:c r="AJ4" s="38" t="str">
        <x:v>Факт 19.08.2026 22:40 = 015. Полное попадание: Δ · Вариант 2 = 015.</x:v>
      </x:c>
    </x:row>
    <x:row r="5" ht="110" customHeight="1">
      <x:c r="A5" s="47" t="n">
        <x:v>46254</x:v>
      </x:c>
      <x:c r="B5" s="38" t="str">
        <x:v>Четверг</x:v>
      </x:c>
      <x:c r="C5" s="38" t="str">
        <x:v>02:40</x:v>
      </x:c>
      <x:c r="D5" s="38" t="str">
        <x:v>015</x:v>
      </x:c>
      <x:c r="E5" s="38" t="str">
        <x:v>688 → 768 → 877 → 670 → 761 → 015</x:v>
      </x:c>
      <x:c r="F5" s="38" t="str">
        <x:v>VV L5: 3×1 | VH L4: 2×2, 0×1, 6×1, 5×2, 1×1 | HV L5: 2×1 | HH L4: 1×1, 4×1, 2×2, 8×2, 3×1, 6×1</x:v>
      </x:c>
      <x:c r="G5" s="38" t="str">
        <x:v>VV L4: 3×1, 9×2, 0×1, 7×2, 2×1 | VH L5: 8×1 | HV L4: 2×1, 7×2, 5×1, 1×1 | HH L5: 9×1</x:v>
      </x:c>
      <x:c r="H5" s="38" t="str">
        <x:v>VV L4: 1×1, 4×2, 9×1, 2×1 | VH L4: 4×1, 7×1, 9×1 | HV L5: 8×1 | HH L5: 5×1</x:v>
      </x:c>
      <x:c r="I5" s="38" t="str">
        <x:v>VV L4 raw[2×3,3×1,1×2,0×1,5×1,8×1]→+0[2×3,3×1,1×2,0×1,5×1,8×1] | VH L4 raw[3×1,1×1,9×1]→+0[3×1,1×1,9×1] | HV L5 raw[5×1]→+0[5×1] | HH L5 raw[2×1]→+0[2×1]</x:v>
      </x:c>
      <x:c r="J5" s="38" t="str">
        <x:v>VV L4 raw[0×2,1×1,6×1,9×1,8×1]→+1[1×2,2×1,7×1,0×1,9×1] | VH L5 raw[3×1]→+1[4×1] | HV L5 raw[0×1,2×1]→+1[1×1,3×1] | HH L4 raw[7×1,8×1,0×2]→+1[8×1,9×1,1×2]</x:v>
      </x:c>
      <x:c r="K5" s="38" t="str">
        <x:v>VV L5 raw[3×1]→+5[8×1] | VH L4 raw[7×1,0×1,4×1,2×1]→+5[2×1,5×1,9×1,7×1] | HV L5 raw[4×1]→+5[9×1] | HH L5 raw[0×1]→+5[5×1]</x:v>
      </x:c>
      <x:c r="L5" s="38" t="str">
        <x:v>VV L4 raw[2×1,8×1,6×2,9×1,1×2,0×1]→+0[2×1,8×1,6×2,9×1,1×2,0×1] | VH L4 raw[4×2,2×1,7×1]→+0[4×2,2×1,7×1] | HV L5 raw[8×1,3×1]→+0[8×1,3×1] | HH L5 raw[6×1]→+0[6×1]</x:v>
      </x:c>
      <x:c r="M5" s="38" t="str">
        <x:v>VV L5 raw[1×1]→+1[2×1] | VH L5 raw[9×1]→+1[0×1] | HV L4 raw[6×1,5×1,3×1]→+1[7×1,6×1,4×1] | HH L5 raw[6×1]→+1[7×1]</x:v>
      </x:c>
      <x:c r="N5" s="38" t="str">
        <x:v>VV L4 raw[8×1,1×1,4×1,7×1,3×2,0×1,9×1]→+5[3×1,6×1,9×1,2×1,8×2,5×1,4×1] | VH L5 raw[8×1]→+5[3×1] | HV L4 raw[2×2,4×1,6×1,1×1]→+5[7×2,9×1,1×1,6×1] | HH L4 raw[1×1,8×1,6×1,9×2,0×1,4×1]→+5[6×1,3×1,1×1,4×2,5×1,9×1]</x:v>
      </x:c>
      <x:c r="O5" s="38" t="str">
        <x:v>274</x:v>
      </x:c>
      <x:c r="P5" s="38" t="str">
        <x:v>274</x:v>
      </x:c>
      <x:c r="Q5" s="38" t="str">
        <x:v>417</x:v>
      </x:c>
      <x:c r="R5" s="38" t="str">
        <x:v>795</x:v>
      </x:c>
      <x:c r="S5" s="38" t="str">
        <x:v>219</x:v>
      </x:c>
      <x:c r="T5" s="38" t="str">
        <x:v>215</x:v>
      </x:c>
      <x:c r="U5" s="38" t="str">
        <x:v>922</x:v>
      </x:c>
      <x:c r="V5" s="38" t="str">
        <x:v>215</x:v>
      </x:c>
      <x:c r="W5" s="38" t="str">
        <x:v>679</x:v>
      </x:c>
      <x:c r="X5" s="38" t="str">
        <x:v>679</x:v>
      </x:c>
      <x:c r="Y5" s="38" t="str">
        <x:v>042</x:v>
      </x:c>
      <x:c r="Z5" s="38" t="str">
        <x:v>674</x:v>
      </x:c>
      <x:c r="AA5" s="38" t="str">
        <x:v>385</x:v>
      </x:c>
      <x:c r="AB5" s="38" t="str">
        <x:v>627</x:v>
      </x:c>
      <x:c r="AC5" s="38" t="str">
        <x:v>625</x:v>
      </x:c>
      <x:c r="AD5" s="38" t="str">
        <x:v>706</x:v>
      </x:c>
      <x:c r="AE5" s="38" t="str">
        <x:v>687</x:v>
      </x:c>
      <x:c r="AF5" s="38" t="str"/>
      <x:c r="AG5" s="38" t="str"/>
      <x:c r="AH5" s="38" t="str"/>
      <x:c r="AI5" s="38" t="str"/>
      <x:c r="AJ5" s="38" t="str">
        <x:v>Полная pre-selection фиксация по закону. Доп. №1=385 по маршрутам факта 015 из 22:40. Доп. №2=627 по маршрутам факта 19.08 02:40=795. Доп. №3=625 только из Доп. №1/№2 по повторным признакам. Сканер 02:40: A — синий, B — зелёный, C — голубой.</x:v>
      </x:c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  <x:c r="AA6" s="38"/>
      <x:c r="AB6" s="38"/>
      <x:c r="AC6" s="38"/>
      <x:c r="AD6" s="38"/>
      <x:c r="AE6" s="38"/>
      <x:c r="AF6" s="38"/>
      <x:c r="AG6" s="38"/>
      <x:c r="AH6" s="38"/>
      <x:c r="AI6" s="38"/>
      <x:c r="AJ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  <x:c r="AJ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  <x:c r="AA8" s="38"/>
      <x:c r="AB8" s="38"/>
      <x:c r="AC8" s="38"/>
      <x:c r="AD8" s="38"/>
      <x:c r="AE8" s="38"/>
      <x:c r="AF8" s="38"/>
      <x:c r="AG8" s="38"/>
      <x:c r="AH8" s="38"/>
      <x:c r="AI8" s="38"/>
      <x:c r="AJ8" s="38"/>
    </x:row>
    <x:row r="9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  <x:c r="AJ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  <x:c r="AA10" s="38"/>
      <x:c r="AB10" s="38"/>
      <x:c r="AC10" s="38"/>
      <x:c r="AD10" s="38"/>
      <x:c r="AE10" s="38"/>
      <x:c r="AF10" s="38"/>
      <x:c r="AG10" s="38"/>
      <x:c r="AH10" s="38"/>
      <x:c r="AI10" s="38"/>
      <x:c r="AJ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  <x:c r="AA11" s="38"/>
      <x:c r="AB11" s="38"/>
      <x:c r="AC11" s="38"/>
      <x:c r="AD11" s="38"/>
      <x:c r="AE11" s="38"/>
      <x:c r="AF11" s="38"/>
      <x:c r="AG11" s="38"/>
      <x:c r="AH11" s="38"/>
      <x:c r="AI11" s="38"/>
      <x:c r="AJ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  <x:c r="AA104" s="38"/>
      <x:c r="AB104" s="38"/>
      <x:c r="AC104" s="38"/>
      <x:c r="AD104" s="38"/>
      <x:c r="AE104" s="38"/>
      <x:c r="AF104" s="38"/>
      <x:c r="AG104" s="38"/>
      <x:c r="AH104" s="38"/>
      <x:c r="AI104" s="38"/>
      <x:c r="AJ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38"/>
      <x:c r="AB105" s="38"/>
      <x:c r="AC105" s="38"/>
      <x:c r="AD105" s="38"/>
      <x:c r="AE105" s="38"/>
      <x:c r="AF105" s="38"/>
      <x:c r="AG105" s="38"/>
      <x:c r="AH105" s="38"/>
      <x:c r="AI105" s="38"/>
      <x:c r="AJ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38"/>
      <x:c r="AB106" s="38"/>
      <x:c r="AC106" s="38"/>
      <x:c r="AD106" s="38"/>
      <x:c r="AE106" s="38"/>
      <x:c r="AF106" s="38"/>
      <x:c r="AG106" s="38"/>
      <x:c r="AH106" s="38"/>
      <x:c r="AI106" s="38"/>
      <x:c r="AJ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  <x:c r="AA107" s="38"/>
      <x:c r="AB107" s="38"/>
      <x:c r="AC107" s="38"/>
      <x:c r="AD107" s="38"/>
      <x:c r="AE107" s="38"/>
      <x:c r="AF107" s="38"/>
      <x:c r="AG107" s="38"/>
      <x:c r="AH107" s="38"/>
      <x:c r="AI107" s="38"/>
      <x:c r="AJ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38"/>
      <x:c r="AB108" s="38"/>
      <x:c r="AC108" s="38"/>
      <x:c r="AD108" s="38"/>
      <x:c r="AE108" s="38"/>
      <x:c r="AF108" s="38"/>
      <x:c r="AG108" s="38"/>
      <x:c r="AH108" s="38"/>
      <x:c r="AI108" s="38"/>
      <x:c r="AJ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  <x:c r="AA109" s="38"/>
      <x:c r="AB109" s="38"/>
      <x:c r="AC109" s="38"/>
      <x:c r="AD109" s="38"/>
      <x:c r="AE109" s="38"/>
      <x:c r="AF109" s="38"/>
      <x:c r="AG109" s="38"/>
      <x:c r="AH109" s="38"/>
      <x:c r="AI109" s="38"/>
      <x:c r="AJ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38"/>
      <x:c r="AB110" s="38"/>
      <x:c r="AC110" s="38"/>
      <x:c r="AD110" s="38"/>
      <x:c r="AE110" s="38"/>
      <x:c r="AF110" s="38"/>
      <x:c r="AG110" s="38"/>
      <x:c r="AH110" s="38"/>
      <x:c r="AI110" s="38"/>
      <x:c r="AJ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  <x:c r="AA111" s="38"/>
      <x:c r="AB111" s="38"/>
      <x:c r="AC111" s="38"/>
      <x:c r="AD111" s="38"/>
      <x:c r="AE111" s="38"/>
      <x:c r="AF111" s="38"/>
      <x:c r="AG111" s="38"/>
      <x:c r="AH111" s="38"/>
      <x:c r="AI111" s="38"/>
      <x:c r="AJ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  <x:c r="AA112" s="38"/>
      <x:c r="AB112" s="38"/>
      <x:c r="AC112" s="38"/>
      <x:c r="AD112" s="38"/>
      <x:c r="AE112" s="38"/>
      <x:c r="AF112" s="38"/>
      <x:c r="AG112" s="38"/>
      <x:c r="AH112" s="38"/>
      <x:c r="AI112" s="38"/>
      <x:c r="AJ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38"/>
      <x:c r="AB113" s="38"/>
      <x:c r="AC113" s="38"/>
      <x:c r="AD113" s="38"/>
      <x:c r="AE113" s="38"/>
      <x:c r="AF113" s="38"/>
      <x:c r="AG113" s="38"/>
      <x:c r="AH113" s="38"/>
      <x:c r="AI113" s="38"/>
      <x:c r="AJ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/>
      <x:c r="AB114" s="38"/>
      <x:c r="AC114" s="38"/>
      <x:c r="AD114" s="38"/>
      <x:c r="AE114" s="38"/>
      <x:c r="AF114" s="38"/>
      <x:c r="AG114" s="38"/>
      <x:c r="AH114" s="38"/>
      <x:c r="AI114" s="38"/>
      <x:c r="AJ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38"/>
      <x:c r="AB115" s="38"/>
      <x:c r="AC115" s="38"/>
      <x:c r="AD115" s="38"/>
      <x:c r="AE115" s="38"/>
      <x:c r="AF115" s="38"/>
      <x:c r="AG115" s="38"/>
      <x:c r="AH115" s="38"/>
      <x:c r="AI115" s="38"/>
      <x:c r="AJ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38"/>
      <x:c r="AB116" s="38"/>
      <x:c r="AC116" s="38"/>
      <x:c r="AD116" s="38"/>
      <x:c r="AE116" s="38"/>
      <x:c r="AF116" s="38"/>
      <x:c r="AG116" s="38"/>
      <x:c r="AH116" s="38"/>
      <x:c r="AI116" s="38"/>
      <x:c r="AJ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38"/>
      <x:c r="AB117" s="38"/>
      <x:c r="AC117" s="38"/>
      <x:c r="AD117" s="38"/>
      <x:c r="AE117" s="38"/>
      <x:c r="AF117" s="38"/>
      <x:c r="AG117" s="38"/>
      <x:c r="AH117" s="38"/>
      <x:c r="AI117" s="38"/>
      <x:c r="AJ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38"/>
      <x:c r="AB118" s="38"/>
      <x:c r="AC118" s="38"/>
      <x:c r="AD118" s="38"/>
      <x:c r="AE118" s="38"/>
      <x:c r="AF118" s="38"/>
      <x:c r="AG118" s="38"/>
      <x:c r="AH118" s="38"/>
      <x:c r="AI118" s="38"/>
      <x:c r="AJ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38"/>
      <x:c r="AB119" s="38"/>
      <x:c r="AC119" s="38"/>
      <x:c r="AD119" s="38"/>
      <x:c r="AE119" s="38"/>
      <x:c r="AF119" s="38"/>
      <x:c r="AG119" s="38"/>
      <x:c r="AH119" s="38"/>
      <x:c r="AI119" s="38"/>
      <x:c r="AJ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/>
      <x:c r="AB120" s="38"/>
      <x:c r="AC120" s="38"/>
      <x:c r="AD120" s="38"/>
      <x:c r="AE120" s="38"/>
      <x:c r="AF120" s="38"/>
      <x:c r="AG120" s="38"/>
      <x:c r="AH120" s="38"/>
      <x:c r="AI120" s="38"/>
      <x:c r="AJ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38"/>
      <x:c r="AB121" s="38"/>
      <x:c r="AC121" s="38"/>
      <x:c r="AD121" s="38"/>
      <x:c r="AE121" s="38"/>
      <x:c r="AF121" s="38"/>
      <x:c r="AG121" s="38"/>
      <x:c r="AH121" s="38"/>
      <x:c r="AI121" s="38"/>
      <x:c r="AJ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38"/>
      <x:c r="AB122" s="38"/>
      <x:c r="AC122" s="38"/>
      <x:c r="AD122" s="38"/>
      <x:c r="AE122" s="38"/>
      <x:c r="AF122" s="38"/>
      <x:c r="AG122" s="38"/>
      <x:c r="AH122" s="38"/>
      <x:c r="AI122" s="38"/>
      <x:c r="AJ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38"/>
      <x:c r="AB123" s="38"/>
      <x:c r="AC123" s="38"/>
      <x:c r="AD123" s="38"/>
      <x:c r="AE123" s="38"/>
      <x:c r="AF123" s="38"/>
      <x:c r="AG123" s="38"/>
      <x:c r="AH123" s="38"/>
      <x:c r="AI123" s="38"/>
      <x:c r="AJ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  <x:c r="AA124" s="38"/>
      <x:c r="AB124" s="38"/>
      <x:c r="AC124" s="38"/>
      <x:c r="AD124" s="38"/>
      <x:c r="AE124" s="38"/>
      <x:c r="AF124" s="38"/>
      <x:c r="AG124" s="38"/>
      <x:c r="AH124" s="38"/>
      <x:c r="AI124" s="38"/>
      <x:c r="AJ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  <x:c r="AB125" s="38"/>
      <x:c r="AC125" s="38"/>
      <x:c r="AD125" s="38"/>
      <x:c r="AE125" s="38"/>
      <x:c r="AF125" s="38"/>
      <x:c r="AG125" s="38"/>
      <x:c r="AH125" s="38"/>
      <x:c r="AI125" s="38"/>
      <x:c r="AJ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38"/>
      <x:c r="AB126" s="38"/>
      <x:c r="AC126" s="38"/>
      <x:c r="AD126" s="38"/>
      <x:c r="AE126" s="38"/>
      <x:c r="AF126" s="38"/>
      <x:c r="AG126" s="38"/>
      <x:c r="AH126" s="38"/>
      <x:c r="AI126" s="38"/>
      <x:c r="AJ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  <x:c r="AA127" s="38"/>
      <x:c r="AB127" s="38"/>
      <x:c r="AC127" s="38"/>
      <x:c r="AD127" s="38"/>
      <x:c r="AE127" s="38"/>
      <x:c r="AF127" s="38"/>
      <x:c r="AG127" s="38"/>
      <x:c r="AH127" s="38"/>
      <x:c r="AI127" s="38"/>
      <x:c r="AJ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  <x:c r="AA128" s="38"/>
      <x:c r="AB128" s="38"/>
      <x:c r="AC128" s="38"/>
      <x:c r="AD128" s="38"/>
      <x:c r="AE128" s="38"/>
      <x:c r="AF128" s="38"/>
      <x:c r="AG128" s="38"/>
      <x:c r="AH128" s="38"/>
      <x:c r="AI128" s="38"/>
      <x:c r="AJ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38"/>
      <x:c r="AB129" s="38"/>
      <x:c r="AC129" s="38"/>
      <x:c r="AD129" s="38"/>
      <x:c r="AE129" s="38"/>
      <x:c r="AF129" s="38"/>
      <x:c r="AG129" s="38"/>
      <x:c r="AH129" s="38"/>
      <x:c r="AI129" s="38"/>
      <x:c r="AJ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38"/>
      <x:c r="AB130" s="38"/>
      <x:c r="AC130" s="38"/>
      <x:c r="AD130" s="38"/>
      <x:c r="AE130" s="38"/>
      <x:c r="AF130" s="38"/>
      <x:c r="AG130" s="38"/>
      <x:c r="AH130" s="38"/>
      <x:c r="AI130" s="38"/>
      <x:c r="AJ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38"/>
      <x:c r="AB131" s="38"/>
      <x:c r="AC131" s="38"/>
      <x:c r="AD131" s="38"/>
      <x:c r="AE131" s="38"/>
      <x:c r="AF131" s="38"/>
      <x:c r="AG131" s="38"/>
      <x:c r="AH131" s="38"/>
      <x:c r="AI131" s="38"/>
      <x:c r="AJ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  <x:c r="AA132" s="38"/>
      <x:c r="AB132" s="38"/>
      <x:c r="AC132" s="38"/>
      <x:c r="AD132" s="38"/>
      <x:c r="AE132" s="38"/>
      <x:c r="AF132" s="38"/>
      <x:c r="AG132" s="38"/>
      <x:c r="AH132" s="38"/>
      <x:c r="AI132" s="38"/>
      <x:c r="AJ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38"/>
      <x:c r="AB133" s="38"/>
      <x:c r="AC133" s="38"/>
      <x:c r="AD133" s="38"/>
      <x:c r="AE133" s="38"/>
      <x:c r="AF133" s="38"/>
      <x:c r="AG133" s="38"/>
      <x:c r="AH133" s="38"/>
      <x:c r="AI133" s="38"/>
      <x:c r="AJ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38"/>
      <x:c r="AB134" s="38"/>
      <x:c r="AC134" s="38"/>
      <x:c r="AD134" s="38"/>
      <x:c r="AE134" s="38"/>
      <x:c r="AF134" s="38"/>
      <x:c r="AG134" s="38"/>
      <x:c r="AH134" s="38"/>
      <x:c r="AI134" s="38"/>
      <x:c r="AJ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  <x:c r="AA135" s="38"/>
      <x:c r="AB135" s="38"/>
      <x:c r="AC135" s="38"/>
      <x:c r="AD135" s="38"/>
      <x:c r="AE135" s="38"/>
      <x:c r="AF135" s="38"/>
      <x:c r="AG135" s="38"/>
      <x:c r="AH135" s="38"/>
      <x:c r="AI135" s="38"/>
      <x:c r="AJ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38"/>
      <x:c r="AB136" s="38"/>
      <x:c r="AC136" s="38"/>
      <x:c r="AD136" s="38"/>
      <x:c r="AE136" s="38"/>
      <x:c r="AF136" s="38"/>
      <x:c r="AG136" s="38"/>
      <x:c r="AH136" s="38"/>
      <x:c r="AI136" s="38"/>
      <x:c r="AJ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  <x:c r="AA137" s="38"/>
      <x:c r="AB137" s="38"/>
      <x:c r="AC137" s="38"/>
      <x:c r="AD137" s="38"/>
      <x:c r="AE137" s="38"/>
      <x:c r="AF137" s="38"/>
      <x:c r="AG137" s="38"/>
      <x:c r="AH137" s="38"/>
      <x:c r="AI137" s="38"/>
      <x:c r="AJ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  <x:c r="AB138" s="38"/>
      <x:c r="AC138" s="38"/>
      <x:c r="AD138" s="38"/>
      <x:c r="AE138" s="38"/>
      <x:c r="AF138" s="38"/>
      <x:c r="AG138" s="38"/>
      <x:c r="AH138" s="38"/>
      <x:c r="AI138" s="38"/>
      <x:c r="AJ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  <x:c r="AB139" s="38"/>
      <x:c r="AC139" s="38"/>
      <x:c r="AD139" s="38"/>
      <x:c r="AE139" s="38"/>
      <x:c r="AF139" s="38"/>
      <x:c r="AG139" s="38"/>
      <x:c r="AH139" s="38"/>
      <x:c r="AI139" s="38"/>
      <x:c r="AJ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38"/>
      <x:c r="AB140" s="38"/>
      <x:c r="AC140" s="38"/>
      <x:c r="AD140" s="38"/>
      <x:c r="AE140" s="38"/>
      <x:c r="AF140" s="38"/>
      <x:c r="AG140" s="38"/>
      <x:c r="AH140" s="38"/>
      <x:c r="AI140" s="38"/>
      <x:c r="AJ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38"/>
      <x:c r="AB141" s="38"/>
      <x:c r="AC141" s="38"/>
      <x:c r="AD141" s="38"/>
      <x:c r="AE141" s="38"/>
      <x:c r="AF141" s="38"/>
      <x:c r="AG141" s="38"/>
      <x:c r="AH141" s="38"/>
      <x:c r="AI141" s="38"/>
      <x:c r="AJ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38"/>
      <x:c r="AB142" s="38"/>
      <x:c r="AC142" s="38"/>
      <x:c r="AD142" s="38"/>
      <x:c r="AE142" s="38"/>
      <x:c r="AF142" s="38"/>
      <x:c r="AG142" s="38"/>
      <x:c r="AH142" s="38"/>
      <x:c r="AI142" s="38"/>
      <x:c r="AJ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38"/>
      <x:c r="AB143" s="38"/>
      <x:c r="AC143" s="38"/>
      <x:c r="AD143" s="38"/>
      <x:c r="AE143" s="38"/>
      <x:c r="AF143" s="38"/>
      <x:c r="AG143" s="38"/>
      <x:c r="AH143" s="38"/>
      <x:c r="AI143" s="38"/>
      <x:c r="AJ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38"/>
      <x:c r="AB144" s="38"/>
      <x:c r="AC144" s="38"/>
      <x:c r="AD144" s="38"/>
      <x:c r="AE144" s="38"/>
      <x:c r="AF144" s="38"/>
      <x:c r="AG144" s="38"/>
      <x:c r="AH144" s="38"/>
      <x:c r="AI144" s="38"/>
      <x:c r="AJ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38"/>
      <x:c r="AB145" s="38"/>
      <x:c r="AC145" s="38"/>
      <x:c r="AD145" s="38"/>
      <x:c r="AE145" s="38"/>
      <x:c r="AF145" s="38"/>
      <x:c r="AG145" s="38"/>
      <x:c r="AH145" s="38"/>
      <x:c r="AI145" s="38"/>
      <x:c r="AJ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/>
      <x:c r="AB146" s="38"/>
      <x:c r="AC146" s="38"/>
      <x:c r="AD146" s="38"/>
      <x:c r="AE146" s="38"/>
      <x:c r="AF146" s="38"/>
      <x:c r="AG146" s="38"/>
      <x:c r="AH146" s="38"/>
      <x:c r="AI146" s="38"/>
      <x:c r="AJ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38"/>
      <x:c r="AB147" s="38"/>
      <x:c r="AC147" s="38"/>
      <x:c r="AD147" s="38"/>
      <x:c r="AE147" s="38"/>
      <x:c r="AF147" s="38"/>
      <x:c r="AG147" s="38"/>
      <x:c r="AH147" s="38"/>
      <x:c r="AI147" s="38"/>
      <x:c r="AJ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  <x:c r="AA148" s="38"/>
      <x:c r="AB148" s="38"/>
      <x:c r="AC148" s="38"/>
      <x:c r="AD148" s="38"/>
      <x:c r="AE148" s="38"/>
      <x:c r="AF148" s="38"/>
      <x:c r="AG148" s="38"/>
      <x:c r="AH148" s="38"/>
      <x:c r="AI148" s="38"/>
      <x:c r="AJ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38"/>
      <x:c r="AB149" s="38"/>
      <x:c r="AC149" s="38"/>
      <x:c r="AD149" s="38"/>
      <x:c r="AE149" s="38"/>
      <x:c r="AF149" s="38"/>
      <x:c r="AG149" s="38"/>
      <x:c r="AH149" s="38"/>
      <x:c r="AI149" s="38"/>
      <x:c r="AJ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  <x:c r="AA150" s="38"/>
      <x:c r="AB150" s="38"/>
      <x:c r="AC150" s="38"/>
      <x:c r="AD150" s="38"/>
      <x:c r="AE150" s="38"/>
      <x:c r="AF150" s="38"/>
      <x:c r="AG150" s="38"/>
      <x:c r="AH150" s="38"/>
      <x:c r="AI150" s="38"/>
      <x:c r="AJ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  <x:c r="AA151" s="38"/>
      <x:c r="AB151" s="38"/>
      <x:c r="AC151" s="38"/>
      <x:c r="AD151" s="38"/>
      <x:c r="AE151" s="38"/>
      <x:c r="AF151" s="38"/>
      <x:c r="AG151" s="38"/>
      <x:c r="AH151" s="38"/>
      <x:c r="AI151" s="38"/>
      <x:c r="AJ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  <x:c r="AA152" s="38"/>
      <x:c r="AB152" s="38"/>
      <x:c r="AC152" s="38"/>
      <x:c r="AD152" s="38"/>
      <x:c r="AE152" s="38"/>
      <x:c r="AF152" s="38"/>
      <x:c r="AG152" s="38"/>
      <x:c r="AH152" s="38"/>
      <x:c r="AI152" s="38"/>
      <x:c r="AJ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38"/>
      <x:c r="AB153" s="38"/>
      <x:c r="AC153" s="38"/>
      <x:c r="AD153" s="38"/>
      <x:c r="AE153" s="38"/>
      <x:c r="AF153" s="38"/>
      <x:c r="AG153" s="38"/>
      <x:c r="AH153" s="38"/>
      <x:c r="AI153" s="38"/>
      <x:c r="AJ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38"/>
      <x:c r="AB154" s="38"/>
      <x:c r="AC154" s="38"/>
      <x:c r="AD154" s="38"/>
      <x:c r="AE154" s="38"/>
      <x:c r="AF154" s="38"/>
      <x:c r="AG154" s="38"/>
      <x:c r="AH154" s="38"/>
      <x:c r="AI154" s="38"/>
      <x:c r="AJ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38"/>
      <x:c r="AB155" s="38"/>
      <x:c r="AC155" s="38"/>
      <x:c r="AD155" s="38"/>
      <x:c r="AE155" s="38"/>
      <x:c r="AF155" s="38"/>
      <x:c r="AG155" s="38"/>
      <x:c r="AH155" s="38"/>
      <x:c r="AI155" s="38"/>
      <x:c r="AJ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  <x:c r="AA156" s="38"/>
      <x:c r="AB156" s="38"/>
      <x:c r="AC156" s="38"/>
      <x:c r="AD156" s="38"/>
      <x:c r="AE156" s="38"/>
      <x:c r="AF156" s="38"/>
      <x:c r="AG156" s="38"/>
      <x:c r="AH156" s="38"/>
      <x:c r="AI156" s="38"/>
      <x:c r="AJ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  <x:c r="AA157" s="38"/>
      <x:c r="AB157" s="38"/>
      <x:c r="AC157" s="38"/>
      <x:c r="AD157" s="38"/>
      <x:c r="AE157" s="38"/>
      <x:c r="AF157" s="38"/>
      <x:c r="AG157" s="38"/>
      <x:c r="AH157" s="38"/>
      <x:c r="AI157" s="38"/>
      <x:c r="AJ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  <x:c r="AA158" s="38"/>
      <x:c r="AB158" s="38"/>
      <x:c r="AC158" s="38"/>
      <x:c r="AD158" s="38"/>
      <x:c r="AE158" s="38"/>
      <x:c r="AF158" s="38"/>
      <x:c r="AG158" s="38"/>
      <x:c r="AH158" s="38"/>
      <x:c r="AI158" s="38"/>
      <x:c r="AJ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38"/>
      <x:c r="AB159" s="38"/>
      <x:c r="AC159" s="38"/>
      <x:c r="AD159" s="38"/>
      <x:c r="AE159" s="38"/>
      <x:c r="AF159" s="38"/>
      <x:c r="AG159" s="38"/>
      <x:c r="AH159" s="38"/>
      <x:c r="AI159" s="38"/>
      <x:c r="AJ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38"/>
      <x:c r="AB160" s="38"/>
      <x:c r="AC160" s="38"/>
      <x:c r="AD160" s="38"/>
      <x:c r="AE160" s="38"/>
      <x:c r="AF160" s="38"/>
      <x:c r="AG160" s="38"/>
      <x:c r="AH160" s="38"/>
      <x:c r="AI160" s="38"/>
      <x:c r="AJ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  <x:c r="AA161" s="38"/>
      <x:c r="AB161" s="38"/>
      <x:c r="AC161" s="38"/>
      <x:c r="AD161" s="38"/>
      <x:c r="AE161" s="38"/>
      <x:c r="AF161" s="38"/>
      <x:c r="AG161" s="38"/>
      <x:c r="AH161" s="38"/>
      <x:c r="AI161" s="38"/>
      <x:c r="AJ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38"/>
      <x:c r="AB162" s="38"/>
      <x:c r="AC162" s="38"/>
      <x:c r="AD162" s="38"/>
      <x:c r="AE162" s="38"/>
      <x:c r="AF162" s="38"/>
      <x:c r="AG162" s="38"/>
      <x:c r="AH162" s="38"/>
      <x:c r="AI162" s="38"/>
      <x:c r="AJ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/>
      <x:c r="AB163" s="38"/>
      <x:c r="AC163" s="38"/>
      <x:c r="AD163" s="38"/>
      <x:c r="AE163" s="38"/>
      <x:c r="AF163" s="38"/>
      <x:c r="AG163" s="38"/>
      <x:c r="AH163" s="38"/>
      <x:c r="AI163" s="38"/>
      <x:c r="AJ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38"/>
      <x:c r="AB164" s="38"/>
      <x:c r="AC164" s="38"/>
      <x:c r="AD164" s="38"/>
      <x:c r="AE164" s="38"/>
      <x:c r="AF164" s="38"/>
      <x:c r="AG164" s="38"/>
      <x:c r="AH164" s="38"/>
      <x:c r="AI164" s="38"/>
      <x:c r="AJ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38"/>
      <x:c r="AB165" s="38"/>
      <x:c r="AC165" s="38"/>
      <x:c r="AD165" s="38"/>
      <x:c r="AE165" s="38"/>
      <x:c r="AF165" s="38"/>
      <x:c r="AG165" s="38"/>
      <x:c r="AH165" s="38"/>
      <x:c r="AI165" s="38"/>
      <x:c r="AJ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  <x:c r="AA166" s="38"/>
      <x:c r="AB166" s="38"/>
      <x:c r="AC166" s="38"/>
      <x:c r="AD166" s="38"/>
      <x:c r="AE166" s="38"/>
      <x:c r="AF166" s="38"/>
      <x:c r="AG166" s="38"/>
      <x:c r="AH166" s="38"/>
      <x:c r="AI166" s="38"/>
      <x:c r="AJ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  <x:c r="AA167" s="38"/>
      <x:c r="AB167" s="38"/>
      <x:c r="AC167" s="38"/>
      <x:c r="AD167" s="38"/>
      <x:c r="AE167" s="38"/>
      <x:c r="AF167" s="38"/>
      <x:c r="AG167" s="38"/>
      <x:c r="AH167" s="38"/>
      <x:c r="AI167" s="38"/>
      <x:c r="AJ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  <x:c r="AA168" s="38"/>
      <x:c r="AB168" s="38"/>
      <x:c r="AC168" s="38"/>
      <x:c r="AD168" s="38"/>
      <x:c r="AE168" s="38"/>
      <x:c r="AF168" s="38"/>
      <x:c r="AG168" s="38"/>
      <x:c r="AH168" s="38"/>
      <x:c r="AI168" s="38"/>
      <x:c r="AJ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  <x:c r="AA169" s="38"/>
      <x:c r="AB169" s="38"/>
      <x:c r="AC169" s="38"/>
      <x:c r="AD169" s="38"/>
      <x:c r="AE169" s="38"/>
      <x:c r="AF169" s="38"/>
      <x:c r="AG169" s="38"/>
      <x:c r="AH169" s="38"/>
      <x:c r="AI169" s="38"/>
      <x:c r="AJ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38"/>
      <x:c r="AB170" s="38"/>
      <x:c r="AC170" s="38"/>
      <x:c r="AD170" s="38"/>
      <x:c r="AE170" s="38"/>
      <x:c r="AF170" s="38"/>
      <x:c r="AG170" s="38"/>
      <x:c r="AH170" s="38"/>
      <x:c r="AI170" s="38"/>
      <x:c r="AJ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  <x:c r="AB171" s="38"/>
      <x:c r="AC171" s="38"/>
      <x:c r="AD171" s="38"/>
      <x:c r="AE171" s="38"/>
      <x:c r="AF171" s="38"/>
      <x:c r="AG171" s="38"/>
      <x:c r="AH171" s="38"/>
      <x:c r="AI171" s="38"/>
      <x:c r="AJ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  <x:c r="AA172" s="38"/>
      <x:c r="AB172" s="38"/>
      <x:c r="AC172" s="38"/>
      <x:c r="AD172" s="38"/>
      <x:c r="AE172" s="38"/>
      <x:c r="AF172" s="38"/>
      <x:c r="AG172" s="38"/>
      <x:c r="AH172" s="38"/>
      <x:c r="AI172" s="38"/>
      <x:c r="AJ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  <x:c r="AA173" s="38"/>
      <x:c r="AB173" s="38"/>
      <x:c r="AC173" s="38"/>
      <x:c r="AD173" s="38"/>
      <x:c r="AE173" s="38"/>
      <x:c r="AF173" s="38"/>
      <x:c r="AG173" s="38"/>
      <x:c r="AH173" s="38"/>
      <x:c r="AI173" s="38"/>
      <x:c r="AJ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  <x:c r="AA174" s="38"/>
      <x:c r="AB174" s="38"/>
      <x:c r="AC174" s="38"/>
      <x:c r="AD174" s="38"/>
      <x:c r="AE174" s="38"/>
      <x:c r="AF174" s="38"/>
      <x:c r="AG174" s="38"/>
      <x:c r="AH174" s="38"/>
      <x:c r="AI174" s="38"/>
      <x:c r="AJ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38"/>
      <x:c r="AB175" s="38"/>
      <x:c r="AC175" s="38"/>
      <x:c r="AD175" s="38"/>
      <x:c r="AE175" s="38"/>
      <x:c r="AF175" s="38"/>
      <x:c r="AG175" s="38"/>
      <x:c r="AH175" s="38"/>
      <x:c r="AI175" s="38"/>
      <x:c r="AJ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38"/>
      <x:c r="AB176" s="38"/>
      <x:c r="AC176" s="38"/>
      <x:c r="AD176" s="38"/>
      <x:c r="AE176" s="38"/>
      <x:c r="AF176" s="38"/>
      <x:c r="AG176" s="38"/>
      <x:c r="AH176" s="38"/>
      <x:c r="AI176" s="38"/>
      <x:c r="AJ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  <x:c r="AA177" s="38"/>
      <x:c r="AB177" s="38"/>
      <x:c r="AC177" s="38"/>
      <x:c r="AD177" s="38"/>
      <x:c r="AE177" s="38"/>
      <x:c r="AF177" s="38"/>
      <x:c r="AG177" s="38"/>
      <x:c r="AH177" s="38"/>
      <x:c r="AI177" s="38"/>
      <x:c r="AJ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  <x:c r="AA178" s="38"/>
      <x:c r="AB178" s="38"/>
      <x:c r="AC178" s="38"/>
      <x:c r="AD178" s="38"/>
      <x:c r="AE178" s="38"/>
      <x:c r="AF178" s="38"/>
      <x:c r="AG178" s="38"/>
      <x:c r="AH178" s="38"/>
      <x:c r="AI178" s="38"/>
      <x:c r="AJ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  <x:c r="AA179" s="38"/>
      <x:c r="AB179" s="38"/>
      <x:c r="AC179" s="38"/>
      <x:c r="AD179" s="38"/>
      <x:c r="AE179" s="38"/>
      <x:c r="AF179" s="38"/>
      <x:c r="AG179" s="38"/>
      <x:c r="AH179" s="38"/>
      <x:c r="AI179" s="38"/>
      <x:c r="AJ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38"/>
      <x:c r="AB180" s="38"/>
      <x:c r="AC180" s="38"/>
      <x:c r="AD180" s="38"/>
      <x:c r="AE180" s="38"/>
      <x:c r="AF180" s="38"/>
      <x:c r="AG180" s="38"/>
      <x:c r="AH180" s="38"/>
      <x:c r="AI180" s="38"/>
      <x:c r="AJ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  <x:c r="AA181" s="38"/>
      <x:c r="AB181" s="38"/>
      <x:c r="AC181" s="38"/>
      <x:c r="AD181" s="38"/>
      <x:c r="AE181" s="38"/>
      <x:c r="AF181" s="38"/>
      <x:c r="AG181" s="38"/>
      <x:c r="AH181" s="38"/>
      <x:c r="AI181" s="38"/>
      <x:c r="AJ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  <x:c r="AA182" s="38"/>
      <x:c r="AB182" s="38"/>
      <x:c r="AC182" s="38"/>
      <x:c r="AD182" s="38"/>
      <x:c r="AE182" s="38"/>
      <x:c r="AF182" s="38"/>
      <x:c r="AG182" s="38"/>
      <x:c r="AH182" s="38"/>
      <x:c r="AI182" s="38"/>
      <x:c r="AJ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38"/>
      <x:c r="AB183" s="38"/>
      <x:c r="AC183" s="38"/>
      <x:c r="AD183" s="38"/>
      <x:c r="AE183" s="38"/>
      <x:c r="AF183" s="38"/>
      <x:c r="AG183" s="38"/>
      <x:c r="AH183" s="38"/>
      <x:c r="AI183" s="38"/>
      <x:c r="AJ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38"/>
      <x:c r="AB184" s="38"/>
      <x:c r="AC184" s="38"/>
      <x:c r="AD184" s="38"/>
      <x:c r="AE184" s="38"/>
      <x:c r="AF184" s="38"/>
      <x:c r="AG184" s="38"/>
      <x:c r="AH184" s="38"/>
      <x:c r="AI184" s="38"/>
      <x:c r="AJ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  <x:c r="AA185" s="38"/>
      <x:c r="AB185" s="38"/>
      <x:c r="AC185" s="38"/>
      <x:c r="AD185" s="38"/>
      <x:c r="AE185" s="38"/>
      <x:c r="AF185" s="38"/>
      <x:c r="AG185" s="38"/>
      <x:c r="AH185" s="38"/>
      <x:c r="AI185" s="38"/>
      <x:c r="AJ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38"/>
      <x:c r="AB186" s="38"/>
      <x:c r="AC186" s="38"/>
      <x:c r="AD186" s="38"/>
      <x:c r="AE186" s="38"/>
      <x:c r="AF186" s="38"/>
      <x:c r="AG186" s="38"/>
      <x:c r="AH186" s="38"/>
      <x:c r="AI186" s="38"/>
      <x:c r="AJ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  <x:c r="AA187" s="38"/>
      <x:c r="AB187" s="38"/>
      <x:c r="AC187" s="38"/>
      <x:c r="AD187" s="38"/>
      <x:c r="AE187" s="38"/>
      <x:c r="AF187" s="38"/>
      <x:c r="AG187" s="38"/>
      <x:c r="AH187" s="38"/>
      <x:c r="AI187" s="38"/>
      <x:c r="AJ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  <x:c r="AA188" s="38"/>
      <x:c r="AB188" s="38"/>
      <x:c r="AC188" s="38"/>
      <x:c r="AD188" s="38"/>
      <x:c r="AE188" s="38"/>
      <x:c r="AF188" s="38"/>
      <x:c r="AG188" s="38"/>
      <x:c r="AH188" s="38"/>
      <x:c r="AI188" s="38"/>
      <x:c r="AJ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  <x:c r="AA189" s="38"/>
      <x:c r="AB189" s="38"/>
      <x:c r="AC189" s="38"/>
      <x:c r="AD189" s="38"/>
      <x:c r="AE189" s="38"/>
      <x:c r="AF189" s="38"/>
      <x:c r="AG189" s="38"/>
      <x:c r="AH189" s="38"/>
      <x:c r="AI189" s="38"/>
      <x:c r="AJ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38"/>
      <x:c r="AB190" s="38"/>
      <x:c r="AC190" s="38"/>
      <x:c r="AD190" s="38"/>
      <x:c r="AE190" s="38"/>
      <x:c r="AF190" s="38"/>
      <x:c r="AG190" s="38"/>
      <x:c r="AH190" s="38"/>
      <x:c r="AI190" s="38"/>
      <x:c r="AJ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  <x:c r="AA191" s="38"/>
      <x:c r="AB191" s="38"/>
      <x:c r="AC191" s="38"/>
      <x:c r="AD191" s="38"/>
      <x:c r="AE191" s="38"/>
      <x:c r="AF191" s="38"/>
      <x:c r="AG191" s="38"/>
      <x:c r="AH191" s="38"/>
      <x:c r="AI191" s="38"/>
      <x:c r="AJ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  <x:c r="AA192" s="38"/>
      <x:c r="AB192" s="38"/>
      <x:c r="AC192" s="38"/>
      <x:c r="AD192" s="38"/>
      <x:c r="AE192" s="38"/>
      <x:c r="AF192" s="38"/>
      <x:c r="AG192" s="38"/>
      <x:c r="AH192" s="38"/>
      <x:c r="AI192" s="38"/>
      <x:c r="AJ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  <x:c r="AA193" s="38"/>
      <x:c r="AB193" s="38"/>
      <x:c r="AC193" s="38"/>
      <x:c r="AD193" s="38"/>
      <x:c r="AE193" s="38"/>
      <x:c r="AF193" s="38"/>
      <x:c r="AG193" s="38"/>
      <x:c r="AH193" s="38"/>
      <x:c r="AI193" s="38"/>
      <x:c r="AJ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  <x:c r="AA194" s="38"/>
      <x:c r="AB194" s="38"/>
      <x:c r="AC194" s="38"/>
      <x:c r="AD194" s="38"/>
      <x:c r="AE194" s="38"/>
      <x:c r="AF194" s="38"/>
      <x:c r="AG194" s="38"/>
      <x:c r="AH194" s="38"/>
      <x:c r="AI194" s="38"/>
      <x:c r="AJ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  <x:c r="AA195" s="38"/>
      <x:c r="AB195" s="38"/>
      <x:c r="AC195" s="38"/>
      <x:c r="AD195" s="38"/>
      <x:c r="AE195" s="38"/>
      <x:c r="AF195" s="38"/>
      <x:c r="AG195" s="38"/>
      <x:c r="AH195" s="38"/>
      <x:c r="AI195" s="38"/>
      <x:c r="AJ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  <x:c r="AA196" s="38"/>
      <x:c r="AB196" s="38"/>
      <x:c r="AC196" s="38"/>
      <x:c r="AD196" s="38"/>
      <x:c r="AE196" s="38"/>
      <x:c r="AF196" s="38"/>
      <x:c r="AG196" s="38"/>
      <x:c r="AH196" s="38"/>
      <x:c r="AI196" s="38"/>
      <x:c r="AJ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  <x:c r="AA197" s="38"/>
      <x:c r="AB197" s="38"/>
      <x:c r="AC197" s="38"/>
      <x:c r="AD197" s="38"/>
      <x:c r="AE197" s="38"/>
      <x:c r="AF197" s="38"/>
      <x:c r="AG197" s="38"/>
      <x:c r="AH197" s="38"/>
      <x:c r="AI197" s="38"/>
      <x:c r="AJ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38"/>
      <x:c r="AB198" s="38"/>
      <x:c r="AC198" s="38"/>
      <x:c r="AD198" s="38"/>
      <x:c r="AE198" s="38"/>
      <x:c r="AF198" s="38"/>
      <x:c r="AG198" s="38"/>
      <x:c r="AH198" s="38"/>
      <x:c r="AI198" s="38"/>
      <x:c r="AJ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  <x:c r="AA199" s="38"/>
      <x:c r="AB199" s="38"/>
      <x:c r="AC199" s="38"/>
      <x:c r="AD199" s="38"/>
      <x:c r="AE199" s="38"/>
      <x:c r="AF199" s="38"/>
      <x:c r="AG199" s="38"/>
      <x:c r="AH199" s="38"/>
      <x:c r="AI199" s="38"/>
      <x:c r="AJ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38"/>
      <x:c r="AB200" s="38"/>
      <x:c r="AC200" s="38"/>
      <x:c r="AD200" s="38"/>
      <x:c r="AE200" s="38"/>
      <x:c r="AF200" s="38"/>
      <x:c r="AG200" s="38"/>
      <x:c r="AH200" s="38"/>
      <x:c r="AI200" s="38"/>
      <x:c r="AJ200" s="3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2" hidden="0" customWidth="1"/>
  </x:cols>
  <x:sheetData>
    <x:row r="1">
      <x:c r="A1" s="42" t="str">
        <x:v>Код</x:v>
      </x:c>
      <x:c r="B1" s="42" t="str">
        <x:v>Название</x:v>
      </x:c>
      <x:c r="C1" s="42" t="str">
        <x:v>Что фиксируем</x:v>
      </x:c>
    </x:row>
    <x:row r="2">
      <x:c r="A2" s="26" t="str">
        <x:v>TOP В1</x:v>
      </x:c>
      <x:c r="B2" s="26" t="str">
        <x:v>TOP ЮЛЯ · Вариант 1</x:v>
      </x:c>
      <x:c r="C2" s="26" t="str">
        <x:v>Точная цифра позиции</x:v>
      </x:c>
    </x:row>
    <x:row r="3">
      <x:c r="A3" s="26" t="str">
        <x:v>TOP В2</x:v>
      </x:c>
      <x:c r="B3" s="26" t="str">
        <x:v>TOP ЮЛЯ · Вариант 2</x:v>
      </x:c>
      <x:c r="C3" s="26" t="str">
        <x:v>Точная цифра позиции</x:v>
      </x:c>
    </x:row>
    <x:row r="4">
      <x:c r="A4" s="26" t="str">
        <x:v>TOP В3</x:v>
      </x:c>
      <x:c r="B4" s="26" t="str">
        <x:v>TOP ЮЛЯ · Вариант 3</x:v>
      </x:c>
      <x:c r="C4" s="26" t="str">
        <x:v>Точная цифра позиции</x:v>
      </x:c>
    </x:row>
    <x:row r="5">
      <x:c r="A5" s="26" t="str">
        <x:v>TOP Г→Г</x:v>
      </x:c>
      <x:c r="B5" s="26" t="str">
        <x:v>TOP ЮЛЯ · Доп. Г→Г</x:v>
      </x:c>
      <x:c r="C5" s="26" t="str">
        <x:v>Точная цифра позиции</x:v>
      </x:c>
    </x:row>
    <x:row r="6">
      <x:c r="A6" s="26" t="str">
        <x:v>Δ В1</x:v>
      </x:c>
      <x:c r="B6" s="26" t="str">
        <x:v>Δ → TOP-3 · Вариант 1</x:v>
      </x:c>
      <x:c r="C6" s="26" t="str">
        <x:v>Точная цифра позиции</x:v>
      </x:c>
    </x:row>
    <x:row r="7">
      <x:c r="A7" s="26" t="str">
        <x:v>Δ В2</x:v>
      </x:c>
      <x:c r="B7" s="26" t="str">
        <x:v>Δ → TOP-3 · Вариант 2</x:v>
      </x:c>
      <x:c r="C7" s="26" t="str">
        <x:v>Точная цифра позиции</x:v>
      </x:c>
    </x:row>
    <x:row r="8">
      <x:c r="A8" s="26" t="str">
        <x:v>Δ В3</x:v>
      </x:c>
      <x:c r="B8" s="26" t="str">
        <x:v>Δ → TOP-3 · Вариант 3</x:v>
      </x:c>
      <x:c r="C8" s="26" t="str">
        <x:v>Точная цифра позиции</x:v>
      </x:c>
    </x:row>
    <x:row r="9">
      <x:c r="A9" s="26" t="str">
        <x:v>Δ Г→Г</x:v>
      </x:c>
      <x:c r="B9" s="26" t="str">
        <x:v>Δ → TOP-3 · Доп. Г→Г</x:v>
      </x:c>
      <x:c r="C9" s="26" t="str">
        <x:v>Точная цифра позиции</x:v>
      </x:c>
    </x:row>
    <x:row r="10">
      <x:c r="A10" s="26" t="str">
        <x:v>ЧИСЛА В1</x:v>
      </x:c>
      <x:c r="B10" s="26" t="str">
        <x:v>ЧИСЛА → TOP-3 · Вариант 1</x:v>
      </x:c>
      <x:c r="C10" s="26" t="str">
        <x:v>Точная цифра позиции</x:v>
      </x:c>
    </x:row>
    <x:row r="11">
      <x:c r="A11" s="26" t="str">
        <x:v>ЧИСЛА В2</x:v>
      </x:c>
      <x:c r="B11" s="26" t="str">
        <x:v>ЧИСЛА → TOP-3 · Вариант 2</x:v>
      </x:c>
      <x:c r="C11" s="26" t="str">
        <x:v>Точная цифра позиции</x:v>
      </x:c>
    </x:row>
    <x:row r="12">
      <x:c r="A12" s="26" t="str">
        <x:v>ЧИСЛА В3</x:v>
      </x:c>
      <x:c r="B12" s="26" t="str">
        <x:v>ЧИСЛА → TOP-3 · Вариант 3</x:v>
      </x:c>
      <x:c r="C12" s="26" t="str">
        <x:v>Точная цифра позиции</x:v>
      </x:c>
    </x:row>
    <x:row r="13">
      <x:c r="A13" s="26" t="str">
        <x:v>ЧИСЛА Г→Г</x:v>
      </x:c>
      <x:c r="B13" s="26" t="str">
        <x:v>ЧИСЛА → TOP-3 · Доп. Г→Г</x:v>
      </x:c>
      <x:c r="C13" s="26" t="str">
        <x:v>Точная цифра позиции</x:v>
      </x:c>
    </x:row>
    <x:row r="14">
      <x:c r="A14" s="26" t="str">
        <x:v>Доп №1</x:v>
      </x:c>
      <x:c r="B14" s="26" t="str">
        <x:v>Дополнительная комбинация №1</x:v>
      </x:c>
      <x:c r="C14" s="26" t="str">
        <x:v>Точная цифра позиции</x:v>
      </x:c>
    </x:row>
    <x:row r="15">
      <x:c r="A15" s="26" t="str">
        <x:v>Доп №2</x:v>
      </x:c>
      <x:c r="B15" s="26" t="str">
        <x:v>Дополнительная комбинация №2</x:v>
      </x:c>
      <x:c r="C15" s="26" t="str">
        <x:v>Точная цифра позиции</x:v>
      </x:c>
    </x:row>
    <x:row r="16">
      <x:c r="A16" s="26" t="str">
        <x:v>Доп №3</x:v>
      </x:c>
      <x:c r="B16" s="26" t="str">
        <x:v>Дополнительная комбинация №3</x:v>
      </x:c>
      <x:c r="C16" s="26" t="str">
        <x:v>Точная цифра позиции</x:v>
      </x:c>
    </x:row>
    <x:row r="17">
      <x:c r="A17" s="26" t="str">
        <x:v>Сканер</x:v>
      </x:c>
      <x:c r="B17" s="26" t="str">
        <x:v>Сканер повторов</x:v>
      </x:c>
      <x:c r="C17" s="26" t="str">
        <x:v>Точная цифра позиции</x:v>
      </x:c>
    </x:row>
    <x:row r="18">
      <x:c r="A18" s="26" t="str">
        <x:v>Запаздывающий</x:v>
      </x:c>
      <x:c r="B18" s="26" t="str">
        <x:v>Запаздывающий выход</x:v>
      </x:c>
      <x:c r="C18" s="26" t="str">
        <x:v>Точная цифра позиции</x:v>
      </x:c>
    </x:row>
    <x:row r="19">
      <x:c r="A19" s="26"/>
      <x:c r="B19" s="26"/>
      <x:c r="C19" s="26"/>
    </x:row>
    <x:row r="20">
      <x:c r="A20" s="26"/>
      <x:c r="B20" s="26"/>
      <x:c r="C20" s="2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11" hidden="0" customWidth="1"/>
    <x:col min="7" max="7" width="20" hidden="0" customWidth="1"/>
    <x:col min="8" max="8" width="20" hidden="0" customWidth="1"/>
    <x:col min="9" max="9" width="9" hidden="0" customWidth="1"/>
    <x:col min="10" max="10" width="13" hidden="0" customWidth="1"/>
    <x:col min="11" max="11" width="13" hidden="0" customWidth="1"/>
    <x:col min="12" max="12" width="11" hidden="0" customWidth="1"/>
    <x:col min="13" max="13" width="13" hidden="0" customWidth="1"/>
  </x:cols>
  <x:sheetData>
    <x:row r="1">
      <x:c r="A1" s="72" t="str">
        <x:v>Дата прогноза</x:v>
      </x:c>
      <x:c r="B1" s="72" t="str">
        <x:v>День</x:v>
      </x:c>
      <x:c r="C1" s="72" t="str">
        <x:v>Время прогноза</x:v>
      </x:c>
      <x:c r="D1" s="72" t="str">
        <x:v>Блок</x:v>
      </x:c>
      <x:c r="E1" s="72" t="str">
        <x:v>Метод / вариант</x:v>
      </x:c>
      <x:c r="F1" s="72" t="str">
        <x:v>Прогноз</x:v>
      </x:c>
      <x:c r="G1" s="72" t="str">
        <x:v>Действует с</x:v>
      </x:c>
      <x:c r="H1" s="72" t="str">
        <x:v>Действует до</x:v>
      </x:c>
      <x:c r="I1" s="72" t="str">
        <x:v>Т3/Л3</x:v>
      </x:c>
      <x:c r="J1" s="72" t="str">
        <x:v>Дата выхода</x:v>
      </x:c>
      <x:c r="K1" s="72" t="str">
        <x:v>Время выхода</x:v>
      </x:c>
      <x:c r="L1" s="72" t="str">
        <x:v>Факт</x:v>
      </x:c>
      <x:c r="M1" s="72" t="str">
        <x:v>Задержка, мин</x:v>
      </x:c>
    </x:row>
    <x:row r="2">
      <x:c r="A2" s="43" t="n">
        <x:v>46253</x:v>
      </x:c>
      <x:c r="B2" s="26" t="str">
        <x:v>Среда</x:v>
      </x:c>
      <x:c r="C2" s="26" t="str">
        <x:v>13:40</x:v>
      </x:c>
      <x:c r="D2" s="26" t="str">
        <x:v>TOP ЮЛЯ</x:v>
      </x:c>
      <x:c r="E2" s="26" t="str">
        <x:v>В1</x:v>
      </x:c>
      <x:c r="F2" s="26" t="str">
        <x:v>297</x:v>
      </x:c>
      <x:c r="G2" s="73" t="n">
        <x:v>46253.569444444445</x:v>
      </x:c>
      <x:c r="H2" s="73" t="n">
        <x:v>46254.569444444445</x:v>
      </x:c>
      <x:c r="I2" s="26" t="str"/>
      <x:c r="J2" s="43" t="str"/>
      <x:c r="K2" s="26" t="str"/>
      <x:c r="L2" s="26" t="str"/>
      <x:c r="M2" s="26" t="str"/>
    </x:row>
    <x:row r="3">
      <x:c r="A3" s="43" t="n">
        <x:v>46253</x:v>
      </x:c>
      <x:c r="B3" s="26" t="str">
        <x:v>Среда</x:v>
      </x:c>
      <x:c r="C3" s="26" t="str">
        <x:v>13:40</x:v>
      </x:c>
      <x:c r="D3" s="26" t="str">
        <x:v>TOP ЮЛЯ</x:v>
      </x:c>
      <x:c r="E3" s="26" t="str">
        <x:v>В2</x:v>
      </x:c>
      <x:c r="F3" s="26" t="str">
        <x:v>297</x:v>
      </x:c>
      <x:c r="G3" s="73" t="n">
        <x:v>46253.569444444445</x:v>
      </x:c>
      <x:c r="H3" s="73" t="n">
        <x:v>46254.569444444445</x:v>
      </x:c>
      <x:c r="I3" s="26" t="str"/>
      <x:c r="J3" s="43" t="str"/>
      <x:c r="K3" s="26" t="str"/>
      <x:c r="L3" s="26" t="str"/>
      <x:c r="M3" s="26" t="str"/>
    </x:row>
    <x:row r="4">
      <x:c r="A4" s="43" t="n">
        <x:v>46253</x:v>
      </x:c>
      <x:c r="B4" s="26" t="str">
        <x:v>Среда</x:v>
      </x:c>
      <x:c r="C4" s="26" t="str">
        <x:v>13:40</x:v>
      </x:c>
      <x:c r="D4" s="26" t="str">
        <x:v>TOP ЮЛЯ</x:v>
      </x:c>
      <x:c r="E4" s="26" t="str">
        <x:v>В3</x:v>
      </x:c>
      <x:c r="F4" s="26" t="str">
        <x:v>513</x:v>
      </x:c>
      <x:c r="G4" s="73" t="n">
        <x:v>46253.569444444445</x:v>
      </x:c>
      <x:c r="H4" s="73" t="n">
        <x:v>46254.569444444445</x:v>
      </x:c>
      <x:c r="I4" s="26" t="str"/>
      <x:c r="J4" s="43" t="str"/>
      <x:c r="K4" s="26" t="str"/>
      <x:c r="L4" s="26" t="str"/>
      <x:c r="M4" s="26" t="str"/>
    </x:row>
    <x:row r="5">
      <x:c r="A5" s="43" t="n">
        <x:v>46253</x:v>
      </x:c>
      <x:c r="B5" s="26" t="str">
        <x:v>Среда</x:v>
      </x:c>
      <x:c r="C5" s="26" t="str">
        <x:v>13:40</x:v>
      </x:c>
      <x:c r="D5" s="26" t="str">
        <x:v>TOP ЮЛЯ</x:v>
      </x:c>
      <x:c r="E5" s="26" t="str">
        <x:v>Г→Г</x:v>
      </x:c>
      <x:c r="F5" s="26" t="str">
        <x:v>391</x:v>
      </x:c>
      <x:c r="G5" s="73" t="n">
        <x:v>46253.569444444445</x:v>
      </x:c>
      <x:c r="H5" s="73" t="n">
        <x:v>46254.569444444445</x:v>
      </x:c>
      <x:c r="I5" s="26" t="str"/>
      <x:c r="J5" s="43" t="str"/>
      <x:c r="K5" s="26" t="str"/>
      <x:c r="L5" s="26" t="str"/>
      <x:c r="M5" s="26" t="str"/>
    </x:row>
    <x:row r="6">
      <x:c r="A6" s="43" t="n">
        <x:v>46253</x:v>
      </x:c>
      <x:c r="B6" s="26" t="str">
        <x:v>Среда</x:v>
      </x:c>
      <x:c r="C6" s="26" t="str">
        <x:v>13:40</x:v>
      </x:c>
      <x:c r="D6" s="26" t="str">
        <x:v>Δ → TOP-3</x:v>
      </x:c>
      <x:c r="E6" s="26" t="str">
        <x:v>В1</x:v>
      </x:c>
      <x:c r="F6" s="26" t="str">
        <x:v>456</x:v>
      </x:c>
      <x:c r="G6" s="73" t="n">
        <x:v>46253.569444444445</x:v>
      </x:c>
      <x:c r="H6" s="73" t="n">
        <x:v>46254.569444444445</x:v>
      </x:c>
      <x:c r="I6" s="26" t="str"/>
      <x:c r="J6" s="43" t="str"/>
      <x:c r="K6" s="26" t="str"/>
      <x:c r="L6" s="26" t="str"/>
      <x:c r="M6" s="26" t="str"/>
    </x:row>
    <x:row r="7">
      <x:c r="A7" s="43" t="n">
        <x:v>46253</x:v>
      </x:c>
      <x:c r="B7" s="26" t="str">
        <x:v>Среда</x:v>
      </x:c>
      <x:c r="C7" s="26" t="str">
        <x:v>13:40</x:v>
      </x:c>
      <x:c r="D7" s="26" t="str">
        <x:v>Δ → TOP-3</x:v>
      </x:c>
      <x:c r="E7" s="26" t="str">
        <x:v>В2</x:v>
      </x:c>
      <x:c r="F7" s="26" t="str">
        <x:v>858</x:v>
      </x:c>
      <x:c r="G7" s="73" t="n">
        <x:v>46253.569444444445</x:v>
      </x:c>
      <x:c r="H7" s="73" t="n">
        <x:v>46254.569444444445</x:v>
      </x:c>
      <x:c r="I7" s="26" t="str"/>
      <x:c r="J7" s="43" t="str"/>
      <x:c r="K7" s="26" t="str"/>
      <x:c r="L7" s="26" t="str"/>
      <x:c r="M7" s="26" t="str"/>
    </x:row>
    <x:row r="8">
      <x:c r="A8" s="43" t="n">
        <x:v>46253</x:v>
      </x:c>
      <x:c r="B8" s="26" t="str">
        <x:v>Среда</x:v>
      </x:c>
      <x:c r="C8" s="26" t="str">
        <x:v>13:40</x:v>
      </x:c>
      <x:c r="D8" s="26" t="str">
        <x:v>Δ → TOP-3</x:v>
      </x:c>
      <x:c r="E8" s="26" t="str">
        <x:v>В3</x:v>
      </x:c>
      <x:c r="F8" s="26" t="str">
        <x:v>383</x:v>
      </x:c>
      <x:c r="G8" s="73" t="n">
        <x:v>46253.569444444445</x:v>
      </x:c>
      <x:c r="H8" s="73" t="n">
        <x:v>46254.569444444445</x:v>
      </x:c>
      <x:c r="I8" s="26" t="str"/>
      <x:c r="J8" s="43" t="str"/>
      <x:c r="K8" s="26" t="str"/>
      <x:c r="L8" s="26" t="str"/>
      <x:c r="M8" s="26" t="str"/>
    </x:row>
    <x:row r="9">
      <x:c r="A9" s="43" t="n">
        <x:v>46253</x:v>
      </x:c>
      <x:c r="B9" s="26" t="str">
        <x:v>Среда</x:v>
      </x:c>
      <x:c r="C9" s="26" t="str">
        <x:v>13:40</x:v>
      </x:c>
      <x:c r="D9" s="26" t="str">
        <x:v>Δ → TOP-3</x:v>
      </x:c>
      <x:c r="E9" s="26" t="str">
        <x:v>Г→Г</x:v>
      </x:c>
      <x:c r="F9" s="26" t="str">
        <x:v>338</x:v>
      </x:c>
      <x:c r="G9" s="73" t="n">
        <x:v>46253.569444444445</x:v>
      </x:c>
      <x:c r="H9" s="73" t="n">
        <x:v>46254.569444444445</x:v>
      </x:c>
      <x:c r="I9" s="26" t="str"/>
      <x:c r="J9" s="43" t="str"/>
      <x:c r="K9" s="26" t="str"/>
      <x:c r="L9" s="26" t="str"/>
      <x:c r="M9" s="26" t="str"/>
    </x:row>
    <x:row r="10">
      <x:c r="A10" s="43" t="n">
        <x:v>46253</x:v>
      </x:c>
      <x:c r="B10" s="26" t="str">
        <x:v>Среда</x:v>
      </x:c>
      <x:c r="C10" s="26" t="str">
        <x:v>13:40</x:v>
      </x:c>
      <x:c r="D10" s="26" t="str">
        <x:v>ЧИСЛА → TOP-3</x:v>
      </x:c>
      <x:c r="E10" s="26" t="str">
        <x:v>В1</x:v>
      </x:c>
      <x:c r="F10" s="26" t="str">
        <x:v>120</x:v>
      </x:c>
      <x:c r="G10" s="73" t="n">
        <x:v>46253.569444444445</x:v>
      </x:c>
      <x:c r="H10" s="73" t="n">
        <x:v>46254.569444444445</x:v>
      </x:c>
      <x:c r="I10" s="26" t="str"/>
      <x:c r="J10" s="43" t="str"/>
      <x:c r="K10" s="26" t="str"/>
      <x:c r="L10" s="26" t="str"/>
      <x:c r="M10" s="26" t="str"/>
    </x:row>
    <x:row r="11">
      <x:c r="A11" s="43" t="n">
        <x:v>46253</x:v>
      </x:c>
      <x:c r="B11" s="26" t="str">
        <x:v>Среда</x:v>
      </x:c>
      <x:c r="C11" s="26" t="str">
        <x:v>13:40</x:v>
      </x:c>
      <x:c r="D11" s="26" t="str">
        <x:v>ЧИСЛА → TOP-3</x:v>
      </x:c>
      <x:c r="E11" s="26" t="str">
        <x:v>В2</x:v>
      </x:c>
      <x:c r="F11" s="26" t="str">
        <x:v>120</x:v>
      </x:c>
      <x:c r="G11" s="73" t="n">
        <x:v>46253.569444444445</x:v>
      </x:c>
      <x:c r="H11" s="73" t="n">
        <x:v>46254.569444444445</x:v>
      </x:c>
      <x:c r="I11" s="26" t="str"/>
      <x:c r="J11" s="43" t="str"/>
      <x:c r="K11" s="26" t="str"/>
      <x:c r="L11" s="26" t="str"/>
      <x:c r="M11" s="26" t="str"/>
    </x:row>
    <x:row r="12">
      <x:c r="A12" s="43" t="n">
        <x:v>46253</x:v>
      </x:c>
      <x:c r="B12" s="26" t="str">
        <x:v>Среда</x:v>
      </x:c>
      <x:c r="C12" s="26" t="str">
        <x:v>13:40</x:v>
      </x:c>
      <x:c r="D12" s="26" t="str">
        <x:v>ЧИСЛА → TOP-3</x:v>
      </x:c>
      <x:c r="E12" s="26" t="str">
        <x:v>В3</x:v>
      </x:c>
      <x:c r="F12" s="26" t="str">
        <x:v>868</x:v>
      </x:c>
      <x:c r="G12" s="73" t="n">
        <x:v>46253.569444444445</x:v>
      </x:c>
      <x:c r="H12" s="73" t="n">
        <x:v>46254.569444444445</x:v>
      </x:c>
      <x:c r="I12" s="26" t="str"/>
      <x:c r="J12" s="43" t="str"/>
      <x:c r="K12" s="26" t="str"/>
      <x:c r="L12" s="26" t="str"/>
      <x:c r="M12" s="26" t="str"/>
    </x:row>
    <x:row r="13">
      <x:c r="A13" s="43" t="n">
        <x:v>46253</x:v>
      </x:c>
      <x:c r="B13" s="26" t="str">
        <x:v>Среда</x:v>
      </x:c>
      <x:c r="C13" s="26" t="str">
        <x:v>13:40</x:v>
      </x:c>
      <x:c r="D13" s="26" t="str">
        <x:v>ЧИСЛА → TOP-3</x:v>
      </x:c>
      <x:c r="E13" s="26" t="str">
        <x:v>Г→Г</x:v>
      </x:c>
      <x:c r="F13" s="26" t="str">
        <x:v>781</x:v>
      </x:c>
      <x:c r="G13" s="73" t="n">
        <x:v>46253.569444444445</x:v>
      </x:c>
      <x:c r="H13" s="73" t="n">
        <x:v>46254.569444444445</x:v>
      </x:c>
      <x:c r="I13" s="26" t="str"/>
      <x:c r="J13" s="43" t="str"/>
      <x:c r="K13" s="26" t="str"/>
      <x:c r="L13" s="26" t="str"/>
      <x:c r="M13" s="26" t="str"/>
    </x:row>
    <x:row r="14">
      <x:c r="A14" s="43" t="n">
        <x:v>46253</x:v>
      </x:c>
      <x:c r="B14" s="26" t="str">
        <x:v>Среда</x:v>
      </x:c>
      <x:c r="C14" s="26" t="str">
        <x:v>13:40</x:v>
      </x:c>
      <x:c r="D14" s="26" t="str">
        <x:v>Дополнительные</x:v>
      </x:c>
      <x:c r="E14" s="26" t="str">
        <x:v>Доп №1</x:v>
      </x:c>
      <x:c r="F14" s="26" t="str">
        <x:v>318</x:v>
      </x:c>
      <x:c r="G14" s="73" t="n">
        <x:v>46253.569444444445</x:v>
      </x:c>
      <x:c r="H14" s="73" t="n">
        <x:v>46254.569444444445</x:v>
      </x:c>
      <x:c r="I14" s="26" t="str"/>
      <x:c r="J14" s="43" t="str"/>
      <x:c r="K14" s="26" t="str"/>
      <x:c r="L14" s="26" t="str"/>
      <x:c r="M14" s="26" t="str"/>
    </x:row>
    <x:row r="15">
      <x:c r="A15" s="43" t="n">
        <x:v>46253</x:v>
      </x:c>
      <x:c r="B15" s="26" t="str">
        <x:v>Среда</x:v>
      </x:c>
      <x:c r="C15" s="26" t="str">
        <x:v>13:40</x:v>
      </x:c>
      <x:c r="D15" s="26" t="str">
        <x:v>Дополнительные</x:v>
      </x:c>
      <x:c r="E15" s="26" t="str">
        <x:v>Доп №2</x:v>
      </x:c>
      <x:c r="F15" s="26" t="str">
        <x:v>880</x:v>
      </x:c>
      <x:c r="G15" s="73" t="n">
        <x:v>46253.569444444445</x:v>
      </x:c>
      <x:c r="H15" s="73" t="n">
        <x:v>46254.569444444445</x:v>
      </x:c>
      <x:c r="I15" s="26" t="str"/>
      <x:c r="J15" s="43" t="str"/>
      <x:c r="K15" s="26" t="str"/>
      <x:c r="L15" s="26" t="str"/>
      <x:c r="M15" s="26" t="str"/>
    </x:row>
    <x:row r="16">
      <x:c r="A16" s="43" t="n">
        <x:v>46253</x:v>
      </x:c>
      <x:c r="B16" s="26" t="str">
        <x:v>Среда</x:v>
      </x:c>
      <x:c r="C16" s="26" t="str">
        <x:v>13:40</x:v>
      </x:c>
      <x:c r="D16" s="26" t="str">
        <x:v>Дополнительные</x:v>
      </x:c>
      <x:c r="E16" s="26" t="str">
        <x:v>Доп №3</x:v>
      </x:c>
      <x:c r="F16" s="26" t="str">
        <x:v>318</x:v>
      </x:c>
      <x:c r="G16" s="73" t="n">
        <x:v>46253.569444444445</x:v>
      </x:c>
      <x:c r="H16" s="73" t="n">
        <x:v>46254.569444444445</x:v>
      </x:c>
      <x:c r="I16" s="26" t="str"/>
      <x:c r="J16" s="43" t="str"/>
      <x:c r="K16" s="26" t="str"/>
      <x:c r="L16" s="26" t="str"/>
      <x:c r="M16" s="26" t="str"/>
    </x:row>
    <x:row r="17">
      <x:c r="A17" s="43" t="n">
        <x:v>46253</x:v>
      </x:c>
      <x:c r="B17" s="26" t="str">
        <x:v>Среда</x:v>
      </x:c>
      <x:c r="C17" s="26" t="str">
        <x:v>13:40</x:v>
      </x:c>
      <x:c r="D17" s="26" t="str">
        <x:v>Сканер повторов</x:v>
      </x:c>
      <x:c r="E17" s="26" t="str">
        <x:v>Сканер</x:v>
      </x:c>
      <x:c r="F17" s="26" t="str">
        <x:v>737</x:v>
      </x:c>
      <x:c r="G17" s="73" t="n">
        <x:v>46253.569444444445</x:v>
      </x:c>
      <x:c r="H17" s="73" t="n">
        <x:v>46254.569444444445</x:v>
      </x:c>
      <x:c r="I17" s="26" t="str"/>
      <x:c r="J17" s="43" t="str"/>
      <x:c r="K17" s="26" t="str"/>
      <x:c r="L17" s="26" t="str"/>
      <x:c r="M17" s="26" t="str"/>
    </x:row>
    <x:row r="18">
      <x:c r="A18" s="43" t="n">
        <x:v>46253</x:v>
      </x:c>
      <x:c r="B18" s="26" t="str">
        <x:v>Среда</x:v>
      </x:c>
      <x:c r="C18" s="26" t="str">
        <x:v>13:40</x:v>
      </x:c>
      <x:c r="D18" s="26" t="str">
        <x:v>Запаздывающий</x:v>
      </x:c>
      <x:c r="E18" s="26" t="str">
        <x:v>Запаздывающий</x:v>
      </x:c>
      <x:c r="F18" s="26" t="str">
        <x:v>055</x:v>
      </x:c>
      <x:c r="G18" s="73" t="n">
        <x:v>46253.569444444445</x:v>
      </x:c>
      <x:c r="H18" s="73" t="n">
        <x:v>46254.569444444445</x:v>
      </x:c>
      <x:c r="I18" s="26" t="str"/>
      <x:c r="J18" s="43" t="str"/>
      <x:c r="K18" s="26" t="str"/>
      <x:c r="L18" s="26" t="str"/>
      <x:c r="M18" s="26" t="str"/>
    </x:row>
    <x:row r="19">
      <x:c r="A19" s="43" t="n">
        <x:v>46253</x:v>
      </x:c>
      <x:c r="B19" s="26" t="str">
        <x:v>Среда</x:v>
      </x:c>
      <x:c r="C19" s="26" t="str">
        <x:v>16:25</x:v>
      </x:c>
      <x:c r="D19" s="26" t="str">
        <x:v>TOP ЮЛЯ</x:v>
      </x:c>
      <x:c r="E19" s="26" t="str">
        <x:v>В1</x:v>
      </x:c>
      <x:c r="F19" s="26" t="str">
        <x:v>301</x:v>
      </x:c>
      <x:c r="G19" s="73" t="n">
        <x:v>46253.68402777778</x:v>
      </x:c>
      <x:c r="H19" s="73" t="n">
        <x:v>46254.68402777778</x:v>
      </x:c>
      <x:c r="I19" s="26" t="str"/>
      <x:c r="J19" s="43" t="str"/>
      <x:c r="K19" s="26" t="str"/>
      <x:c r="L19" s="26" t="str"/>
      <x:c r="M19" s="26" t="str"/>
    </x:row>
    <x:row r="20">
      <x:c r="A20" s="43" t="n">
        <x:v>46253</x:v>
      </x:c>
      <x:c r="B20" s="26" t="str">
        <x:v>Среда</x:v>
      </x:c>
      <x:c r="C20" s="26" t="str">
        <x:v>16:25</x:v>
      </x:c>
      <x:c r="D20" s="26" t="str">
        <x:v>TOP ЮЛЯ</x:v>
      </x:c>
      <x:c r="E20" s="26" t="str">
        <x:v>В2</x:v>
      </x:c>
      <x:c r="F20" s="26" t="str">
        <x:v>306</x:v>
      </x:c>
      <x:c r="G20" s="73" t="n">
        <x:v>46253.68402777778</x:v>
      </x:c>
      <x:c r="H20" s="73" t="n">
        <x:v>46254.68402777778</x:v>
      </x:c>
      <x:c r="I20" s="26" t="str"/>
      <x:c r="J20" s="43" t="str"/>
      <x:c r="K20" s="26" t="str"/>
      <x:c r="L20" s="26" t="str"/>
      <x:c r="M20" s="26" t="str"/>
    </x:row>
    <x:row r="21">
      <x:c r="A21" s="43" t="n">
        <x:v>46253</x:v>
      </x:c>
      <x:c r="B21" s="26" t="str">
        <x:v>Среда</x:v>
      </x:c>
      <x:c r="C21" s="26" t="str">
        <x:v>16:25</x:v>
      </x:c>
      <x:c r="D21" s="26" t="str">
        <x:v>TOP ЮЛЯ</x:v>
      </x:c>
      <x:c r="E21" s="26" t="str">
        <x:v>В3</x:v>
      </x:c>
      <x:c r="F21" s="26" t="str">
        <x:v>119</x:v>
      </x:c>
      <x:c r="G21" s="73" t="n">
        <x:v>46253.68402777778</x:v>
      </x:c>
      <x:c r="H21" s="73" t="n">
        <x:v>46254.68402777778</x:v>
      </x:c>
      <x:c r="I21" s="26" t="str"/>
      <x:c r="J21" s="43" t="str"/>
      <x:c r="K21" s="26" t="str"/>
      <x:c r="L21" s="26" t="str"/>
      <x:c r="M21" s="26" t="str"/>
    </x:row>
    <x:row r="22">
      <x:c r="A22" s="43" t="n">
        <x:v>46253</x:v>
      </x:c>
      <x:c r="B22" s="26" t="str">
        <x:v>Среда</x:v>
      </x:c>
      <x:c r="C22" s="26" t="str">
        <x:v>16:25</x:v>
      </x:c>
      <x:c r="D22" s="26" t="str">
        <x:v>TOP ЮЛЯ</x:v>
      </x:c>
      <x:c r="E22" s="26" t="str">
        <x:v>Г→Г</x:v>
      </x:c>
      <x:c r="F22" s="26" t="str">
        <x:v>300</x:v>
      </x:c>
      <x:c r="G22" s="73" t="n">
        <x:v>46253.68402777778</x:v>
      </x:c>
      <x:c r="H22" s="73" t="n">
        <x:v>46254.68402777778</x:v>
      </x:c>
      <x:c r="I22" s="26" t="str"/>
      <x:c r="J22" s="43" t="str"/>
      <x:c r="K22" s="26" t="str"/>
      <x:c r="L22" s="26" t="str"/>
      <x:c r="M22" s="26" t="str"/>
    </x:row>
    <x:row r="23">
      <x:c r="A23" s="43" t="n">
        <x:v>46253</x:v>
      </x:c>
      <x:c r="B23" s="26" t="str">
        <x:v>Среда</x:v>
      </x:c>
      <x:c r="C23" s="26" t="str">
        <x:v>16:25</x:v>
      </x:c>
      <x:c r="D23" s="26" t="str">
        <x:v>Δ → TOP-3</x:v>
      </x:c>
      <x:c r="E23" s="26" t="str">
        <x:v>В1</x:v>
      </x:c>
      <x:c r="F23" s="26" t="str">
        <x:v>335</x:v>
      </x:c>
      <x:c r="G23" s="73" t="n">
        <x:v>46253.68402777778</x:v>
      </x:c>
      <x:c r="H23" s="73" t="n">
        <x:v>46254.68402777778</x:v>
      </x:c>
      <x:c r="I23" s="26" t="str"/>
      <x:c r="J23" s="43" t="str"/>
      <x:c r="K23" s="26" t="str"/>
      <x:c r="L23" s="26" t="str"/>
      <x:c r="M23" s="26" t="str"/>
    </x:row>
    <x:row r="24">
      <x:c r="A24" s="43" t="n">
        <x:v>46253</x:v>
      </x:c>
      <x:c r="B24" s="26" t="str">
        <x:v>Среда</x:v>
      </x:c>
      <x:c r="C24" s="26" t="str">
        <x:v>16:25</x:v>
      </x:c>
      <x:c r="D24" s="26" t="str">
        <x:v>Δ → TOP-3</x:v>
      </x:c>
      <x:c r="E24" s="26" t="str">
        <x:v>В2</x:v>
      </x:c>
      <x:c r="F24" s="26" t="str">
        <x:v>336</x:v>
      </x:c>
      <x:c r="G24" s="73" t="n">
        <x:v>46253.68402777778</x:v>
      </x:c>
      <x:c r="H24" s="73" t="n">
        <x:v>46254.68402777778</x:v>
      </x:c>
      <x:c r="I24" s="26" t="str"/>
      <x:c r="J24" s="43" t="str"/>
      <x:c r="K24" s="26" t="str"/>
      <x:c r="L24" s="26" t="str"/>
      <x:c r="M24" s="26" t="str"/>
    </x:row>
    <x:row r="25">
      <x:c r="A25" s="43" t="n">
        <x:v>46253</x:v>
      </x:c>
      <x:c r="B25" s="26" t="str">
        <x:v>Среда</x:v>
      </x:c>
      <x:c r="C25" s="26" t="str">
        <x:v>16:25</x:v>
      </x:c>
      <x:c r="D25" s="26" t="str">
        <x:v>Δ → TOP-3</x:v>
      </x:c>
      <x:c r="E25" s="26" t="str">
        <x:v>В3</x:v>
      </x:c>
      <x:c r="F25" s="26" t="str">
        <x:v>148</x:v>
      </x:c>
      <x:c r="G25" s="73" t="n">
        <x:v>46253.68402777778</x:v>
      </x:c>
      <x:c r="H25" s="73" t="n">
        <x:v>46254.68402777778</x:v>
      </x:c>
      <x:c r="I25" s="26" t="str"/>
      <x:c r="J25" s="43" t="str"/>
      <x:c r="K25" s="26" t="str"/>
      <x:c r="L25" s="26" t="str"/>
      <x:c r="M25" s="26" t="str"/>
    </x:row>
    <x:row r="26">
      <x:c r="A26" s="43" t="n">
        <x:v>46253</x:v>
      </x:c>
      <x:c r="B26" s="26" t="str">
        <x:v>Среда</x:v>
      </x:c>
      <x:c r="C26" s="26" t="str">
        <x:v>16:25</x:v>
      </x:c>
      <x:c r="D26" s="26" t="str">
        <x:v>Δ → TOP-3</x:v>
      </x:c>
      <x:c r="E26" s="26" t="str">
        <x:v>Г→Г</x:v>
      </x:c>
      <x:c r="F26" s="26" t="str">
        <x:v>374</x:v>
      </x:c>
      <x:c r="G26" s="73" t="n">
        <x:v>46253.68402777778</x:v>
      </x:c>
      <x:c r="H26" s="73" t="n">
        <x:v>46254.68402777778</x:v>
      </x:c>
      <x:c r="I26" s="26" t="str"/>
      <x:c r="J26" s="43" t="str"/>
      <x:c r="K26" s="26" t="str"/>
      <x:c r="L26" s="26" t="str"/>
      <x:c r="M26" s="26" t="str"/>
    </x:row>
    <x:row r="27">
      <x:c r="A27" s="43" t="n">
        <x:v>46253</x:v>
      </x:c>
      <x:c r="B27" s="26" t="str">
        <x:v>Среда</x:v>
      </x:c>
      <x:c r="C27" s="26" t="str">
        <x:v>16:25</x:v>
      </x:c>
      <x:c r="D27" s="26" t="str">
        <x:v>ЧИСЛА → TOP-3</x:v>
      </x:c>
      <x:c r="E27" s="26" t="str">
        <x:v>В1</x:v>
      </x:c>
      <x:c r="F27" s="26" t="str">
        <x:v>092</x:v>
      </x:c>
      <x:c r="G27" s="73" t="n">
        <x:v>46253.68402777778</x:v>
      </x:c>
      <x:c r="H27" s="73" t="n">
        <x:v>46254.68402777778</x:v>
      </x:c>
      <x:c r="I27" s="26" t="str"/>
      <x:c r="J27" s="43" t="str"/>
      <x:c r="K27" s="26" t="str"/>
      <x:c r="L27" s="26" t="str"/>
      <x:c r="M27" s="26" t="str"/>
    </x:row>
    <x:row r="28">
      <x:c r="A28" s="43" t="n">
        <x:v>46253</x:v>
      </x:c>
      <x:c r="B28" s="26" t="str">
        <x:v>Среда</x:v>
      </x:c>
      <x:c r="C28" s="26" t="str">
        <x:v>16:25</x:v>
      </x:c>
      <x:c r="D28" s="26" t="str">
        <x:v>ЧИСЛА → TOP-3</x:v>
      </x:c>
      <x:c r="E28" s="26" t="str">
        <x:v>В2</x:v>
      </x:c>
      <x:c r="F28" s="26" t="str">
        <x:v>002</x:v>
      </x:c>
      <x:c r="G28" s="73" t="n">
        <x:v>46253.68402777778</x:v>
      </x:c>
      <x:c r="H28" s="73" t="n">
        <x:v>46254.68402777778</x:v>
      </x:c>
      <x:c r="I28" s="26" t="str"/>
      <x:c r="J28" s="43" t="str"/>
      <x:c r="K28" s="26" t="str"/>
      <x:c r="L28" s="26" t="str"/>
      <x:c r="M28" s="26" t="str"/>
    </x:row>
    <x:row r="29">
      <x:c r="A29" s="43" t="n">
        <x:v>46253</x:v>
      </x:c>
      <x:c r="B29" s="26" t="str">
        <x:v>Среда</x:v>
      </x:c>
      <x:c r="C29" s="26" t="str">
        <x:v>16:25</x:v>
      </x:c>
      <x:c r="D29" s="26" t="str">
        <x:v>ЧИСЛА → TOP-3</x:v>
      </x:c>
      <x:c r="E29" s="26" t="str">
        <x:v>В3</x:v>
      </x:c>
      <x:c r="F29" s="26" t="str">
        <x:v>414</x:v>
      </x:c>
      <x:c r="G29" s="73" t="n">
        <x:v>46253.68402777778</x:v>
      </x:c>
      <x:c r="H29" s="73" t="n">
        <x:v>46254.68402777778</x:v>
      </x:c>
      <x:c r="I29" s="26" t="str"/>
      <x:c r="J29" s="43" t="str"/>
      <x:c r="K29" s="26" t="str"/>
      <x:c r="L29" s="26" t="str"/>
      <x:c r="M29" s="26" t="str"/>
    </x:row>
    <x:row r="30">
      <x:c r="A30" s="43" t="n">
        <x:v>46253</x:v>
      </x:c>
      <x:c r="B30" s="26" t="str">
        <x:v>Среда</x:v>
      </x:c>
      <x:c r="C30" s="26" t="str">
        <x:v>16:25</x:v>
      </x:c>
      <x:c r="D30" s="26" t="str">
        <x:v>ЧИСЛА → TOP-3</x:v>
      </x:c>
      <x:c r="E30" s="26" t="str">
        <x:v>Г→Г</x:v>
      </x:c>
      <x:c r="F30" s="26" t="str">
        <x:v>502</x:v>
      </x:c>
      <x:c r="G30" s="73" t="n">
        <x:v>46253.68402777778</x:v>
      </x:c>
      <x:c r="H30" s="73" t="n">
        <x:v>46254.68402777778</x:v>
      </x:c>
      <x:c r="I30" s="26" t="str"/>
      <x:c r="J30" s="43" t="str"/>
      <x:c r="K30" s="26" t="str"/>
      <x:c r="L30" s="26" t="str"/>
      <x:c r="M30" s="26" t="str"/>
    </x:row>
    <x:row r="31">
      <x:c r="A31" s="43" t="n">
        <x:v>46253</x:v>
      </x:c>
      <x:c r="B31" s="26" t="str">
        <x:v>Среда</x:v>
      </x:c>
      <x:c r="C31" s="26" t="str">
        <x:v>16:25</x:v>
      </x:c>
      <x:c r="D31" s="26" t="str">
        <x:v>Дополнительные</x:v>
      </x:c>
      <x:c r="E31" s="26" t="str">
        <x:v>Доп №1</x:v>
      </x:c>
      <x:c r="F31" s="26" t="str">
        <x:v>276</x:v>
      </x:c>
      <x:c r="G31" s="73" t="n">
        <x:v>46253.68402777778</x:v>
      </x:c>
      <x:c r="H31" s="73" t="n">
        <x:v>46254.68402777778</x:v>
      </x:c>
      <x:c r="I31" s="26" t="str"/>
      <x:c r="J31" s="43" t="str"/>
      <x:c r="K31" s="26" t="str"/>
      <x:c r="L31" s="26" t="str"/>
      <x:c r="M31" s="26" t="str"/>
    </x:row>
    <x:row r="32">
      <x:c r="A32" s="43" t="n">
        <x:v>46253</x:v>
      </x:c>
      <x:c r="B32" s="26" t="str">
        <x:v>Среда</x:v>
      </x:c>
      <x:c r="C32" s="26" t="str">
        <x:v>16:25</x:v>
      </x:c>
      <x:c r="D32" s="26" t="str">
        <x:v>Дополнительные</x:v>
      </x:c>
      <x:c r="E32" s="26" t="str">
        <x:v>Доп №2</x:v>
      </x:c>
      <x:c r="F32" s="26" t="str">
        <x:v>300</x:v>
      </x:c>
      <x:c r="G32" s="73" t="n">
        <x:v>46253.68402777778</x:v>
      </x:c>
      <x:c r="H32" s="73" t="n">
        <x:v>46254.68402777778</x:v>
      </x:c>
      <x:c r="I32" s="26" t="str"/>
      <x:c r="J32" s="43" t="str"/>
      <x:c r="K32" s="26" t="str"/>
      <x:c r="L32" s="26" t="str"/>
      <x:c r="M32" s="26" t="str"/>
    </x:row>
    <x:row r="33">
      <x:c r="A33" s="43" t="n">
        <x:v>46253</x:v>
      </x:c>
      <x:c r="B33" s="26" t="str">
        <x:v>Среда</x:v>
      </x:c>
      <x:c r="C33" s="26" t="str">
        <x:v>16:25</x:v>
      </x:c>
      <x:c r="D33" s="26" t="str">
        <x:v>Дополнительные</x:v>
      </x:c>
      <x:c r="E33" s="26" t="str">
        <x:v>Доп №3</x:v>
      </x:c>
      <x:c r="F33" s="26" t="str">
        <x:v>376</x:v>
      </x:c>
      <x:c r="G33" s="73" t="n">
        <x:v>46253.68402777778</x:v>
      </x:c>
      <x:c r="H33" s="73" t="n">
        <x:v>46254.68402777778</x:v>
      </x:c>
      <x:c r="I33" s="26" t="str"/>
      <x:c r="J33" s="43" t="str"/>
      <x:c r="K33" s="26" t="str"/>
      <x:c r="L33" s="26" t="str"/>
      <x:c r="M33" s="26" t="str"/>
    </x:row>
    <x:row r="34">
      <x:c r="A34" s="43" t="n">
        <x:v>46253</x:v>
      </x:c>
      <x:c r="B34" s="26" t="str">
        <x:v>Среда</x:v>
      </x:c>
      <x:c r="C34" s="26" t="str">
        <x:v>16:25</x:v>
      </x:c>
      <x:c r="D34" s="26" t="str">
        <x:v>Сканер повторов</x:v>
      </x:c>
      <x:c r="E34" s="26" t="str">
        <x:v>Сканер</x:v>
      </x:c>
      <x:c r="F34" s="26" t="str">
        <x:v>322</x:v>
      </x:c>
      <x:c r="G34" s="73" t="n">
        <x:v>46253.68402777778</x:v>
      </x:c>
      <x:c r="H34" s="73" t="n">
        <x:v>46254.68402777778</x:v>
      </x:c>
      <x:c r="I34" s="26" t="str"/>
      <x:c r="J34" s="43" t="str"/>
      <x:c r="K34" s="26" t="str"/>
      <x:c r="L34" s="26" t="str"/>
      <x:c r="M34" s="26" t="str"/>
    </x:row>
    <x:row r="35">
      <x:c r="A35" s="43" t="n">
        <x:v>46253</x:v>
      </x:c>
      <x:c r="B35" s="26" t="str">
        <x:v>Среда</x:v>
      </x:c>
      <x:c r="C35" s="26" t="str">
        <x:v>16:25</x:v>
      </x:c>
      <x:c r="D35" s="26" t="str">
        <x:v>Запаздывающий</x:v>
      </x:c>
      <x:c r="E35" s="26" t="str">
        <x:v>Запаздывающий</x:v>
      </x:c>
      <x:c r="F35" s="26" t="str">
        <x:v>868</x:v>
      </x:c>
      <x:c r="G35" s="73" t="n">
        <x:v>46253.68402777778</x:v>
      </x:c>
      <x:c r="H35" s="73" t="n">
        <x:v>46254.68402777778</x:v>
      </x:c>
      <x:c r="I35" s="26" t="str"/>
      <x:c r="J35" s="43" t="str"/>
      <x:c r="K35" s="26" t="str"/>
      <x:c r="L35" s="26" t="str"/>
      <x:c r="M35" s="26" t="str"/>
    </x:row>
    <x:row r="36">
      <x:c r="A36" s="43" t="n">
        <x:v>46253</x:v>
      </x:c>
      <x:c r="B36" s="26" t="str">
        <x:v>Среда</x:v>
      </x:c>
      <x:c r="C36" s="26" t="str">
        <x:v>21:25</x:v>
      </x:c>
      <x:c r="D36" s="26" t="str">
        <x:v>TOP ЮЛЯ</x:v>
      </x:c>
      <x:c r="E36" s="26" t="str">
        <x:v>В1</x:v>
      </x:c>
      <x:c r="F36" s="26" t="str">
        <x:v>498</x:v>
      </x:c>
      <x:c r="G36" s="73" t="n">
        <x:v>46253.89236111111</x:v>
      </x:c>
      <x:c r="H36" s="73" t="n">
        <x:v>46254.89236111111</x:v>
      </x:c>
      <x:c r="I36" s="26" t="str"/>
      <x:c r="J36" s="43" t="str"/>
      <x:c r="K36" s="26" t="str"/>
      <x:c r="L36" s="26" t="str"/>
      <x:c r="M36" s="26" t="str"/>
    </x:row>
    <x:row r="37">
      <x:c r="A37" s="43" t="n">
        <x:v>46253</x:v>
      </x:c>
      <x:c r="B37" s="26" t="str">
        <x:v>Среда</x:v>
      </x:c>
      <x:c r="C37" s="26" t="str">
        <x:v>21:25</x:v>
      </x:c>
      <x:c r="D37" s="26" t="str">
        <x:v>TOP ЮЛЯ</x:v>
      </x:c>
      <x:c r="E37" s="26" t="str">
        <x:v>В2</x:v>
      </x:c>
      <x:c r="F37" s="26" t="str">
        <x:v>498</x:v>
      </x:c>
      <x:c r="G37" s="73" t="n">
        <x:v>46253.89236111111</x:v>
      </x:c>
      <x:c r="H37" s="73" t="n">
        <x:v>46254.89236111111</x:v>
      </x:c>
      <x:c r="I37" s="26" t="str"/>
      <x:c r="J37" s="43" t="str"/>
      <x:c r="K37" s="26" t="str"/>
      <x:c r="L37" s="26" t="str"/>
      <x:c r="M37" s="26" t="str"/>
    </x:row>
    <x:row r="38">
      <x:c r="A38" s="43" t="n">
        <x:v>46253</x:v>
      </x:c>
      <x:c r="B38" s="26" t="str">
        <x:v>Среда</x:v>
      </x:c>
      <x:c r="C38" s="26" t="str">
        <x:v>21:25</x:v>
      </x:c>
      <x:c r="D38" s="26" t="str">
        <x:v>TOP ЮЛЯ</x:v>
      </x:c>
      <x:c r="E38" s="26" t="str">
        <x:v>В3</x:v>
      </x:c>
      <x:c r="F38" s="26" t="str">
        <x:v>374</x:v>
      </x:c>
      <x:c r="G38" s="73" t="n">
        <x:v>46253.89236111111</x:v>
      </x:c>
      <x:c r="H38" s="73" t="n">
        <x:v>46254.89236111111</x:v>
      </x:c>
      <x:c r="I38" s="26" t="str"/>
      <x:c r="J38" s="43" t="str"/>
      <x:c r="K38" s="26" t="str"/>
      <x:c r="L38" s="26" t="str"/>
      <x:c r="M38" s="26" t="str"/>
    </x:row>
    <x:row r="39">
      <x:c r="A39" s="43" t="n">
        <x:v>46253</x:v>
      </x:c>
      <x:c r="B39" s="26" t="str">
        <x:v>Среда</x:v>
      </x:c>
      <x:c r="C39" s="26" t="str">
        <x:v>21:25</x:v>
      </x:c>
      <x:c r="D39" s="26" t="str">
        <x:v>TOP ЮЛЯ</x:v>
      </x:c>
      <x:c r="E39" s="26" t="str">
        <x:v>Г→Г</x:v>
      </x:c>
      <x:c r="F39" s="26" t="str">
        <x:v>269</x:v>
      </x:c>
      <x:c r="G39" s="73" t="n">
        <x:v>46253.89236111111</x:v>
      </x:c>
      <x:c r="H39" s="73" t="n">
        <x:v>46254.89236111111</x:v>
      </x:c>
      <x:c r="I39" s="26" t="str"/>
      <x:c r="J39" s="43" t="str"/>
      <x:c r="K39" s="26" t="str"/>
      <x:c r="L39" s="26" t="str"/>
      <x:c r="M39" s="26" t="str"/>
    </x:row>
    <x:row r="40">
      <x:c r="A40" s="43" t="n">
        <x:v>46253</x:v>
      </x:c>
      <x:c r="B40" s="26" t="str">
        <x:v>Среда</x:v>
      </x:c>
      <x:c r="C40" s="26" t="str">
        <x:v>21:25</x:v>
      </x:c>
      <x:c r="D40" s="26" t="str">
        <x:v>Δ → TOP-3</x:v>
      </x:c>
      <x:c r="E40" s="26" t="str">
        <x:v>В1</x:v>
      </x:c>
      <x:c r="F40" s="26" t="str">
        <x:v>296</x:v>
      </x:c>
      <x:c r="G40" s="73" t="n">
        <x:v>46253.89236111111</x:v>
      </x:c>
      <x:c r="H40" s="73" t="n">
        <x:v>46254.89236111111</x:v>
      </x:c>
      <x:c r="I40" s="26" t="str"/>
      <x:c r="J40" s="43" t="str"/>
      <x:c r="K40" s="26" t="str"/>
      <x:c r="L40" s="26" t="str"/>
      <x:c r="M40" s="26" t="str"/>
    </x:row>
    <x:row r="41">
      <x:c r="A41" s="43" t="n">
        <x:v>46253</x:v>
      </x:c>
      <x:c r="B41" s="26" t="str">
        <x:v>Среда</x:v>
      </x:c>
      <x:c r="C41" s="26" t="str">
        <x:v>21:25</x:v>
      </x:c>
      <x:c r="D41" s="26" t="str">
        <x:v>Δ → TOP-3</x:v>
      </x:c>
      <x:c r="E41" s="26" t="str">
        <x:v>В2</x:v>
      </x:c>
      <x:c r="F41" s="26" t="str">
        <x:v>446</x:v>
      </x:c>
      <x:c r="G41" s="73" t="n">
        <x:v>46253.89236111111</x:v>
      </x:c>
      <x:c r="H41" s="73" t="n">
        <x:v>46254.89236111111</x:v>
      </x:c>
      <x:c r="I41" s="26" t="str"/>
      <x:c r="J41" s="43" t="str"/>
      <x:c r="K41" s="26" t="str"/>
      <x:c r="L41" s="26" t="str"/>
      <x:c r="M41" s="26" t="str"/>
    </x:row>
    <x:row r="42">
      <x:c r="A42" s="43" t="n">
        <x:v>46253</x:v>
      </x:c>
      <x:c r="B42" s="26" t="str">
        <x:v>Среда</x:v>
      </x:c>
      <x:c r="C42" s="26" t="str">
        <x:v>21:25</x:v>
      </x:c>
      <x:c r="D42" s="26" t="str">
        <x:v>Δ → TOP-3</x:v>
      </x:c>
      <x:c r="E42" s="26" t="str">
        <x:v>В3</x:v>
      </x:c>
      <x:c r="F42" s="26" t="str">
        <x:v>522</x:v>
      </x:c>
      <x:c r="G42" s="73" t="n">
        <x:v>46253.89236111111</x:v>
      </x:c>
      <x:c r="H42" s="73" t="n">
        <x:v>46254.89236111111</x:v>
      </x:c>
      <x:c r="I42" s="26" t="str"/>
      <x:c r="J42" s="43" t="str"/>
      <x:c r="K42" s="26" t="str"/>
      <x:c r="L42" s="26" t="str"/>
      <x:c r="M42" s="26" t="str"/>
    </x:row>
    <x:row r="43">
      <x:c r="A43" s="43" t="n">
        <x:v>46253</x:v>
      </x:c>
      <x:c r="B43" s="26" t="str">
        <x:v>Среда</x:v>
      </x:c>
      <x:c r="C43" s="26" t="str">
        <x:v>21:25</x:v>
      </x:c>
      <x:c r="D43" s="26" t="str">
        <x:v>Δ → TOP-3</x:v>
      </x:c>
      <x:c r="E43" s="26" t="str">
        <x:v>Г→Г</x:v>
      </x:c>
      <x:c r="F43" s="26" t="str">
        <x:v>091</x:v>
      </x:c>
      <x:c r="G43" s="73" t="n">
        <x:v>46253.89236111111</x:v>
      </x:c>
      <x:c r="H43" s="73" t="n">
        <x:v>46254.89236111111</x:v>
      </x:c>
      <x:c r="I43" s="26" t="str"/>
      <x:c r="J43" s="43" t="str"/>
      <x:c r="K43" s="26" t="str"/>
      <x:c r="L43" s="26" t="str"/>
      <x:c r="M43" s="26" t="str"/>
    </x:row>
    <x:row r="44">
      <x:c r="A44" s="43" t="n">
        <x:v>46253</x:v>
      </x:c>
      <x:c r="B44" s="26" t="str">
        <x:v>Среда</x:v>
      </x:c>
      <x:c r="C44" s="26" t="str">
        <x:v>21:25</x:v>
      </x:c>
      <x:c r="D44" s="26" t="str">
        <x:v>ЧИСЛА → TOP-3</x:v>
      </x:c>
      <x:c r="E44" s="26" t="str">
        <x:v>В1</x:v>
      </x:c>
      <x:c r="F44" s="26" t="str">
        <x:v>763</x:v>
      </x:c>
      <x:c r="G44" s="73" t="n">
        <x:v>46253.89236111111</x:v>
      </x:c>
      <x:c r="H44" s="73" t="n">
        <x:v>46254.89236111111</x:v>
      </x:c>
      <x:c r="I44" s="26" t="str"/>
      <x:c r="J44" s="43" t="str"/>
      <x:c r="K44" s="26" t="str"/>
      <x:c r="L44" s="26" t="str"/>
      <x:c r="M44" s="26" t="str"/>
    </x:row>
    <x:row r="45">
      <x:c r="A45" s="43" t="n">
        <x:v>46253</x:v>
      </x:c>
      <x:c r="B45" s="26" t="str">
        <x:v>Среда</x:v>
      </x:c>
      <x:c r="C45" s="26" t="str">
        <x:v>21:25</x:v>
      </x:c>
      <x:c r="D45" s="26" t="str">
        <x:v>ЧИСЛА → TOP-3</x:v>
      </x:c>
      <x:c r="E45" s="26" t="str">
        <x:v>В2</x:v>
      </x:c>
      <x:c r="F45" s="26" t="str">
        <x:v>763</x:v>
      </x:c>
      <x:c r="G45" s="73" t="n">
        <x:v>46253.89236111111</x:v>
      </x:c>
      <x:c r="H45" s="73" t="n">
        <x:v>46254.89236111111</x:v>
      </x:c>
      <x:c r="I45" s="26" t="str"/>
      <x:c r="J45" s="43" t="str"/>
      <x:c r="K45" s="26" t="str"/>
      <x:c r="L45" s="26" t="str"/>
      <x:c r="M45" s="26" t="str"/>
    </x:row>
    <x:row r="46">
      <x:c r="A46" s="43" t="n">
        <x:v>46253</x:v>
      </x:c>
      <x:c r="B46" s="26" t="str">
        <x:v>Среда</x:v>
      </x:c>
      <x:c r="C46" s="26" t="str">
        <x:v>21:25</x:v>
      </x:c>
      <x:c r="D46" s="26" t="str">
        <x:v>ЧИСЛА → TOP-3</x:v>
      </x:c>
      <x:c r="E46" s="26" t="str">
        <x:v>В3</x:v>
      </x:c>
      <x:c r="F46" s="26" t="str">
        <x:v>407</x:v>
      </x:c>
      <x:c r="G46" s="73" t="n">
        <x:v>46253.89236111111</x:v>
      </x:c>
      <x:c r="H46" s="73" t="n">
        <x:v>46254.89236111111</x:v>
      </x:c>
      <x:c r="I46" s="26" t="str"/>
      <x:c r="J46" s="43" t="str"/>
      <x:c r="K46" s="26" t="str"/>
      <x:c r="L46" s="26" t="str"/>
      <x:c r="M46" s="26" t="str"/>
    </x:row>
    <x:row r="47">
      <x:c r="A47" s="43" t="n">
        <x:v>46253</x:v>
      </x:c>
      <x:c r="B47" s="26" t="str">
        <x:v>Среда</x:v>
      </x:c>
      <x:c r="C47" s="26" t="str">
        <x:v>21:25</x:v>
      </x:c>
      <x:c r="D47" s="26" t="str">
        <x:v>ЧИСЛА → TOP-3</x:v>
      </x:c>
      <x:c r="E47" s="26" t="str">
        <x:v>Г→Г</x:v>
      </x:c>
      <x:c r="F47" s="26" t="str">
        <x:v>975</x:v>
      </x:c>
      <x:c r="G47" s="73" t="n">
        <x:v>46253.89236111111</x:v>
      </x:c>
      <x:c r="H47" s="73" t="n">
        <x:v>46254.89236111111</x:v>
      </x:c>
      <x:c r="I47" s="26" t="str"/>
      <x:c r="J47" s="43" t="str"/>
      <x:c r="K47" s="26" t="str"/>
      <x:c r="L47" s="26" t="str"/>
      <x:c r="M47" s="26" t="str"/>
    </x:row>
    <x:row r="48">
      <x:c r="A48" s="43" t="n">
        <x:v>46253</x:v>
      </x:c>
      <x:c r="B48" s="26" t="str">
        <x:v>Среда</x:v>
      </x:c>
      <x:c r="C48" s="26" t="str">
        <x:v>21:25</x:v>
      </x:c>
      <x:c r="D48" s="26" t="str">
        <x:v>Дополнительные</x:v>
      </x:c>
      <x:c r="E48" s="26" t="str">
        <x:v>Доп №1</x:v>
      </x:c>
      <x:c r="F48" s="26" t="str">
        <x:v>106</x:v>
      </x:c>
      <x:c r="G48" s="73" t="n">
        <x:v>46253.89236111111</x:v>
      </x:c>
      <x:c r="H48" s="73" t="n">
        <x:v>46254.89236111111</x:v>
      </x:c>
      <x:c r="I48" s="26" t="str"/>
      <x:c r="J48" s="43" t="str"/>
      <x:c r="K48" s="26" t="str"/>
      <x:c r="L48" s="26" t="str"/>
      <x:c r="M48" s="26" t="str"/>
    </x:row>
    <x:row r="49">
      <x:c r="A49" s="43" t="n">
        <x:v>46253</x:v>
      </x:c>
      <x:c r="B49" s="26" t="str">
        <x:v>Среда</x:v>
      </x:c>
      <x:c r="C49" s="26" t="str">
        <x:v>21:25</x:v>
      </x:c>
      <x:c r="D49" s="26" t="str">
        <x:v>Дополнительные</x:v>
      </x:c>
      <x:c r="E49" s="26" t="str">
        <x:v>Доп №2</x:v>
      </x:c>
      <x:c r="F49" s="26" t="str">
        <x:v>363</x:v>
      </x:c>
      <x:c r="G49" s="73" t="n">
        <x:v>46253.89236111111</x:v>
      </x:c>
      <x:c r="H49" s="73" t="n">
        <x:v>46254.89236111111</x:v>
      </x:c>
      <x:c r="I49" s="26" t="str"/>
      <x:c r="J49" s="43" t="str"/>
      <x:c r="K49" s="26" t="str"/>
      <x:c r="L49" s="26" t="str"/>
      <x:c r="M49" s="26" t="str"/>
    </x:row>
    <x:row r="50">
      <x:c r="A50" s="43" t="n">
        <x:v>46253</x:v>
      </x:c>
      <x:c r="B50" s="26" t="str">
        <x:v>Среда</x:v>
      </x:c>
      <x:c r="C50" s="26" t="str">
        <x:v>21:25</x:v>
      </x:c>
      <x:c r="D50" s="26" t="str">
        <x:v>Дополнительные</x:v>
      </x:c>
      <x:c r="E50" s="26" t="str">
        <x:v>Доп №3</x:v>
      </x:c>
      <x:c r="F50" s="26" t="str">
        <x:v>363</x:v>
      </x:c>
      <x:c r="G50" s="73" t="n">
        <x:v>46253.89236111111</x:v>
      </x:c>
      <x:c r="H50" s="73" t="n">
        <x:v>46254.89236111111</x:v>
      </x:c>
      <x:c r="I50" s="26" t="str"/>
      <x:c r="J50" s="43" t="str"/>
      <x:c r="K50" s="26" t="str"/>
      <x:c r="L50" s="26" t="str"/>
      <x:c r="M50" s="26" t="str"/>
    </x:row>
    <x:row r="51">
      <x:c r="A51" s="43" t="n">
        <x:v>46253</x:v>
      </x:c>
      <x:c r="B51" s="26" t="str">
        <x:v>Среда</x:v>
      </x:c>
      <x:c r="C51" s="26" t="str">
        <x:v>21:25</x:v>
      </x:c>
      <x:c r="D51" s="26" t="str">
        <x:v>Сканер повторов</x:v>
      </x:c>
      <x:c r="E51" s="26" t="str">
        <x:v>Сканер</x:v>
      </x:c>
      <x:c r="F51" s="26" t="str">
        <x:v>566</x:v>
      </x:c>
      <x:c r="G51" s="73" t="n">
        <x:v>46253.89236111111</x:v>
      </x:c>
      <x:c r="H51" s="73" t="n">
        <x:v>46254.89236111111</x:v>
      </x:c>
      <x:c r="I51" s="26" t="str"/>
      <x:c r="J51" s="43" t="str"/>
      <x:c r="K51" s="26" t="str"/>
      <x:c r="L51" s="26" t="str"/>
      <x:c r="M51" s="26" t="str"/>
    </x:row>
    <x:row r="52">
      <x:c r="A52" s="43" t="n">
        <x:v>46253</x:v>
      </x:c>
      <x:c r="B52" s="26" t="str">
        <x:v>Среда</x:v>
      </x:c>
      <x:c r="C52" s="26" t="str">
        <x:v>21:25</x:v>
      </x:c>
      <x:c r="D52" s="26" t="str">
        <x:v>Запаздывающий</x:v>
      </x:c>
      <x:c r="E52" s="26" t="str">
        <x:v>Запаздывающий</x:v>
      </x:c>
      <x:c r="F52" s="26" t="str">
        <x:v>414</x:v>
      </x:c>
      <x:c r="G52" s="73" t="n">
        <x:v>46253.89236111111</x:v>
      </x:c>
      <x:c r="H52" s="73" t="n">
        <x:v>46254.89236111111</x:v>
      </x:c>
      <x:c r="I52" s="26" t="str"/>
      <x:c r="J52" s="43" t="str"/>
      <x:c r="K52" s="26" t="str"/>
      <x:c r="L52" s="26" t="str"/>
      <x:c r="M52" s="26" t="str"/>
    </x:row>
    <x:row r="53">
      <x:c r="A53" s="43" t="n">
        <x:v>46253</x:v>
      </x:c>
      <x:c r="B53" s="26" t="str">
        <x:v>Среда</x:v>
      </x:c>
      <x:c r="C53" s="26" t="str">
        <x:v>22:40</x:v>
      </x:c>
      <x:c r="D53" s="26" t="str">
        <x:v>TOP ЮЛЯ</x:v>
      </x:c>
      <x:c r="E53" s="26" t="str">
        <x:v>В1</x:v>
      </x:c>
      <x:c r="F53" s="26" t="str">
        <x:v>893</x:v>
      </x:c>
      <x:c r="G53" s="73" t="n">
        <x:v>46253.944444444445</x:v>
      </x:c>
      <x:c r="H53" s="73" t="n">
        <x:v>46254.944444444445</x:v>
      </x:c>
      <x:c r="I53" s="26" t="str"/>
      <x:c r="J53" s="43" t="str"/>
      <x:c r="K53" s="26" t="str"/>
      <x:c r="L53" s="26" t="str"/>
      <x:c r="M53" s="26" t="str"/>
    </x:row>
    <x:row r="54">
      <x:c r="A54" s="43" t="n">
        <x:v>46253</x:v>
      </x:c>
      <x:c r="B54" s="26" t="str">
        <x:v>Среда</x:v>
      </x:c>
      <x:c r="C54" s="26" t="str">
        <x:v>22:40</x:v>
      </x:c>
      <x:c r="D54" s="26" t="str">
        <x:v>TOP ЮЛЯ</x:v>
      </x:c>
      <x:c r="E54" s="26" t="str">
        <x:v>В2</x:v>
      </x:c>
      <x:c r="F54" s="26" t="str">
        <x:v>803</x:v>
      </x:c>
      <x:c r="G54" s="73" t="n">
        <x:v>46253.944444444445</x:v>
      </x:c>
      <x:c r="H54" s="73" t="n">
        <x:v>46254.944444444445</x:v>
      </x:c>
      <x:c r="I54" s="26" t="str"/>
      <x:c r="J54" s="43" t="str"/>
      <x:c r="K54" s="26" t="str"/>
      <x:c r="L54" s="26" t="str"/>
      <x:c r="M54" s="26" t="str"/>
    </x:row>
    <x:row r="55">
      <x:c r="A55" s="43" t="n">
        <x:v>46253</x:v>
      </x:c>
      <x:c r="B55" s="26" t="str">
        <x:v>Среда</x:v>
      </x:c>
      <x:c r="C55" s="26" t="str">
        <x:v>22:40</x:v>
      </x:c>
      <x:c r="D55" s="26" t="str">
        <x:v>TOP ЮЛЯ</x:v>
      </x:c>
      <x:c r="E55" s="26" t="str">
        <x:v>В3</x:v>
      </x:c>
      <x:c r="F55" s="26" t="str">
        <x:v>745</x:v>
      </x:c>
      <x:c r="G55" s="73" t="n">
        <x:v>46253.944444444445</x:v>
      </x:c>
      <x:c r="H55" s="73" t="n">
        <x:v>46254.944444444445</x:v>
      </x:c>
      <x:c r="I55" s="26" t="str"/>
      <x:c r="J55" s="43" t="str"/>
      <x:c r="K55" s="26" t="str"/>
      <x:c r="L55" s="26" t="str"/>
      <x:c r="M55" s="26" t="str"/>
    </x:row>
    <x:row r="56">
      <x:c r="A56" s="43" t="n">
        <x:v>46253</x:v>
      </x:c>
      <x:c r="B56" s="26" t="str">
        <x:v>Среда</x:v>
      </x:c>
      <x:c r="C56" s="26" t="str">
        <x:v>22:40</x:v>
      </x:c>
      <x:c r="D56" s="26" t="str">
        <x:v>TOP ЮЛЯ</x:v>
      </x:c>
      <x:c r="E56" s="26" t="str">
        <x:v>Г→Г</x:v>
      </x:c>
      <x:c r="F56" s="26" t="str">
        <x:v>523</x:v>
      </x:c>
      <x:c r="G56" s="73" t="n">
        <x:v>46253.944444444445</x:v>
      </x:c>
      <x:c r="H56" s="73" t="n">
        <x:v>46254.944444444445</x:v>
      </x:c>
      <x:c r="I56" s="26" t="str"/>
      <x:c r="J56" s="43" t="str"/>
      <x:c r="K56" s="26" t="str"/>
      <x:c r="L56" s="26" t="str"/>
      <x:c r="M56" s="26" t="str"/>
    </x:row>
    <x:row r="57">
      <x:c r="A57" s="43" t="n">
        <x:v>46253</x:v>
      </x:c>
      <x:c r="B57" s="26" t="str">
        <x:v>Среда</x:v>
      </x:c>
      <x:c r="C57" s="26" t="str">
        <x:v>22:40</x:v>
      </x:c>
      <x:c r="D57" s="26" t="str">
        <x:v>Δ → TOP-3</x:v>
      </x:c>
      <x:c r="E57" s="26" t="str">
        <x:v>В1</x:v>
      </x:c>
      <x:c r="F57" s="26" t="str">
        <x:v>075</x:v>
      </x:c>
      <x:c r="G57" s="73" t="n">
        <x:v>46253.944444444445</x:v>
      </x:c>
      <x:c r="H57" s="73" t="n">
        <x:v>46254.944444444445</x:v>
      </x:c>
      <x:c r="I57" s="26" t="str"/>
      <x:c r="J57" s="43" t="str"/>
      <x:c r="K57" s="26" t="str"/>
      <x:c r="L57" s="26" t="str"/>
      <x:c r="M57" s="26" t="str"/>
    </x:row>
    <x:row r="58">
      <x:c r="A58" s="43" t="n">
        <x:v>46253</x:v>
      </x:c>
      <x:c r="B58" s="26" t="str">
        <x:v>Среда</x:v>
      </x:c>
      <x:c r="C58" s="26" t="str">
        <x:v>22:40</x:v>
      </x:c>
      <x:c r="D58" s="26" t="str">
        <x:v>Δ → TOP-3</x:v>
      </x:c>
      <x:c r="E58" s="26" t="str">
        <x:v>В2</x:v>
      </x:c>
      <x:c r="F58" s="26" t="str">
        <x:v>015</x:v>
      </x:c>
      <x:c r="G58" s="73" t="n">
        <x:v>46253.944444444445</x:v>
      </x:c>
      <x:c r="H58" s="73" t="n">
        <x:v>46254.944444444445</x:v>
      </x:c>
      <x:c r="I58" s="26" t="str">
        <x:v>T3</x:v>
      </x:c>
      <x:c r="J58" s="43" t="n">
        <x:v>46253</x:v>
      </x:c>
      <x:c r="K58" s="26" t="str">
        <x:v>22:40</x:v>
      </x:c>
      <x:c r="L58" s="26" t="str">
        <x:v>015</x:v>
      </x:c>
      <x:c r="M58" s="26" t="n">
        <x:v>0</x:v>
      </x:c>
    </x:row>
    <x:row r="59">
      <x:c r="A59" s="43" t="n">
        <x:v>46253</x:v>
      </x:c>
      <x:c r="B59" s="26" t="str">
        <x:v>Среда</x:v>
      </x:c>
      <x:c r="C59" s="26" t="str">
        <x:v>22:40</x:v>
      </x:c>
      <x:c r="D59" s="26" t="str">
        <x:v>Δ → TOP-3</x:v>
      </x:c>
      <x:c r="E59" s="26" t="str">
        <x:v>В3</x:v>
      </x:c>
      <x:c r="F59" s="26" t="str">
        <x:v>607</x:v>
      </x:c>
      <x:c r="G59" s="73" t="n">
        <x:v>46253.944444444445</x:v>
      </x:c>
      <x:c r="H59" s="73" t="n">
        <x:v>46254.944444444445</x:v>
      </x:c>
      <x:c r="I59" s="26" t="str"/>
      <x:c r="J59" s="43" t="str"/>
      <x:c r="K59" s="26" t="str"/>
      <x:c r="L59" s="26" t="str"/>
      <x:c r="M59" s="26" t="str"/>
    </x:row>
    <x:row r="60">
      <x:c r="A60" s="43" t="n">
        <x:v>46253</x:v>
      </x:c>
      <x:c r="B60" s="26" t="str">
        <x:v>Среда</x:v>
      </x:c>
      <x:c r="C60" s="26" t="str">
        <x:v>22:40</x:v>
      </x:c>
      <x:c r="D60" s="26" t="str">
        <x:v>Δ → TOP-3</x:v>
      </x:c>
      <x:c r="E60" s="26" t="str">
        <x:v>Г→Г</x:v>
      </x:c>
      <x:c r="F60" s="26" t="str">
        <x:v>428</x:v>
      </x:c>
      <x:c r="G60" s="73" t="n">
        <x:v>46253.944444444445</x:v>
      </x:c>
      <x:c r="H60" s="73" t="n">
        <x:v>46254.944444444445</x:v>
      </x:c>
      <x:c r="I60" s="26" t="str"/>
      <x:c r="J60" s="43" t="str"/>
      <x:c r="K60" s="26" t="str"/>
      <x:c r="L60" s="26" t="str"/>
      <x:c r="M60" s="26" t="str"/>
    </x:row>
    <x:row r="61">
      <x:c r="A61" s="43" t="n">
        <x:v>46253</x:v>
      </x:c>
      <x:c r="B61" s="26" t="str">
        <x:v>Среда</x:v>
      </x:c>
      <x:c r="C61" s="26" t="str">
        <x:v>22:40</x:v>
      </x:c>
      <x:c r="D61" s="26" t="str">
        <x:v>ЧИСЛА → TOP-3</x:v>
      </x:c>
      <x:c r="E61" s="26" t="str">
        <x:v>В1</x:v>
      </x:c>
      <x:c r="F61" s="26" t="str">
        <x:v>839</x:v>
      </x:c>
      <x:c r="G61" s="73" t="n">
        <x:v>46253.944444444445</x:v>
      </x:c>
      <x:c r="H61" s="73" t="n">
        <x:v>46254.944444444445</x:v>
      </x:c>
      <x:c r="I61" s="26" t="str"/>
      <x:c r="J61" s="43" t="str"/>
      <x:c r="K61" s="26" t="str"/>
      <x:c r="L61" s="26" t="str"/>
      <x:c r="M61" s="26" t="str"/>
    </x:row>
    <x:row r="62">
      <x:c r="A62" s="43" t="n">
        <x:v>46253</x:v>
      </x:c>
      <x:c r="B62" s="26" t="str">
        <x:v>Среда</x:v>
      </x:c>
      <x:c r="C62" s="26" t="str">
        <x:v>22:40</x:v>
      </x:c>
      <x:c r="D62" s="26" t="str">
        <x:v>ЧИСЛА → TOP-3</x:v>
      </x:c>
      <x:c r="E62" s="26" t="str">
        <x:v>В2</x:v>
      </x:c>
      <x:c r="F62" s="26" t="str">
        <x:v>833</x:v>
      </x:c>
      <x:c r="G62" s="73" t="n">
        <x:v>46253.944444444445</x:v>
      </x:c>
      <x:c r="H62" s="73" t="n">
        <x:v>46254.944444444445</x:v>
      </x:c>
      <x:c r="I62" s="26" t="str"/>
      <x:c r="J62" s="43" t="str"/>
      <x:c r="K62" s="26" t="str"/>
      <x:c r="L62" s="26" t="str"/>
      <x:c r="M62" s="26" t="str"/>
    </x:row>
    <x:row r="63">
      <x:c r="A63" s="43" t="n">
        <x:v>46253</x:v>
      </x:c>
      <x:c r="B63" s="26" t="str">
        <x:v>Среда</x:v>
      </x:c>
      <x:c r="C63" s="26" t="str">
        <x:v>22:40</x:v>
      </x:c>
      <x:c r="D63" s="26" t="str">
        <x:v>ЧИСЛА → TOP-3</x:v>
      </x:c>
      <x:c r="E63" s="26" t="str">
        <x:v>В3</x:v>
      </x:c>
      <x:c r="F63" s="26" t="str">
        <x:v>687</x:v>
      </x:c>
      <x:c r="G63" s="73" t="n">
        <x:v>46253.944444444445</x:v>
      </x:c>
      <x:c r="H63" s="73" t="n">
        <x:v>46254.944444444445</x:v>
      </x:c>
      <x:c r="I63" s="26" t="str"/>
      <x:c r="J63" s="43" t="str"/>
      <x:c r="K63" s="26" t="str"/>
      <x:c r="L63" s="26" t="str"/>
      <x:c r="M63" s="26" t="str"/>
    </x:row>
    <x:row r="64">
      <x:c r="A64" s="43" t="n">
        <x:v>46253</x:v>
      </x:c>
      <x:c r="B64" s="26" t="str">
        <x:v>Среда</x:v>
      </x:c>
      <x:c r="C64" s="26" t="str">
        <x:v>22:40</x:v>
      </x:c>
      <x:c r="D64" s="26" t="str">
        <x:v>ЧИСЛА → TOP-3</x:v>
      </x:c>
      <x:c r="E64" s="26" t="str">
        <x:v>Г→Г</x:v>
      </x:c>
      <x:c r="F64" s="26" t="str">
        <x:v>845</x:v>
      </x:c>
      <x:c r="G64" s="73" t="n">
        <x:v>46253.944444444445</x:v>
      </x:c>
      <x:c r="H64" s="73" t="n">
        <x:v>46254.944444444445</x:v>
      </x:c>
      <x:c r="I64" s="26" t="str"/>
      <x:c r="J64" s="43" t="str"/>
      <x:c r="K64" s="26" t="str"/>
      <x:c r="L64" s="26" t="str"/>
      <x:c r="M64" s="26" t="str"/>
    </x:row>
    <x:row r="65">
      <x:c r="A65" s="43" t="n">
        <x:v>46253</x:v>
      </x:c>
      <x:c r="B65" s="26" t="str">
        <x:v>Среда</x:v>
      </x:c>
      <x:c r="C65" s="26" t="str">
        <x:v>22:40</x:v>
      </x:c>
      <x:c r="D65" s="26" t="str">
        <x:v>Дополнительные</x:v>
      </x:c>
      <x:c r="E65" s="26" t="str">
        <x:v>Доп №1</x:v>
      </x:c>
      <x:c r="F65" s="26" t="str">
        <x:v>106</x:v>
      </x:c>
      <x:c r="G65" s="73" t="n">
        <x:v>46253.944444444445</x:v>
      </x:c>
      <x:c r="H65" s="73" t="n">
        <x:v>46254.944444444445</x:v>
      </x:c>
      <x:c r="I65" s="26" t="str"/>
      <x:c r="J65" s="43" t="str"/>
      <x:c r="K65" s="26" t="str"/>
      <x:c r="L65" s="26" t="str"/>
      <x:c r="M65" s="26" t="str"/>
    </x:row>
    <x:row r="66">
      <x:c r="A66" s="43" t="n">
        <x:v>46253</x:v>
      </x:c>
      <x:c r="B66" s="26" t="str">
        <x:v>Среда</x:v>
      </x:c>
      <x:c r="C66" s="26" t="str">
        <x:v>22:40</x:v>
      </x:c>
      <x:c r="D66" s="26" t="str">
        <x:v>Дополнительные</x:v>
      </x:c>
      <x:c r="E66" s="26" t="str">
        <x:v>Доп №2</x:v>
      </x:c>
      <x:c r="F66" s="26" t="str">
        <x:v>123</x:v>
      </x:c>
      <x:c r="G66" s="73" t="n">
        <x:v>46253.944444444445</x:v>
      </x:c>
      <x:c r="H66" s="73" t="n">
        <x:v>46254.944444444445</x:v>
      </x:c>
      <x:c r="I66" s="26" t="str"/>
      <x:c r="J66" s="43" t="str"/>
      <x:c r="K66" s="26" t="str"/>
      <x:c r="L66" s="26" t="str"/>
      <x:c r="M66" s="26" t="str"/>
    </x:row>
    <x:row r="67">
      <x:c r="A67" s="43" t="n">
        <x:v>46253</x:v>
      </x:c>
      <x:c r="B67" s="26" t="str">
        <x:v>Среда</x:v>
      </x:c>
      <x:c r="C67" s="26" t="str">
        <x:v>22:40</x:v>
      </x:c>
      <x:c r="D67" s="26" t="str">
        <x:v>Дополнительные</x:v>
      </x:c>
      <x:c r="E67" s="26" t="str">
        <x:v>Доп №3</x:v>
      </x:c>
      <x:c r="F67" s="26" t="str">
        <x:v>123</x:v>
      </x:c>
      <x:c r="G67" s="73" t="n">
        <x:v>46253.944444444445</x:v>
      </x:c>
      <x:c r="H67" s="73" t="n">
        <x:v>46254.944444444445</x:v>
      </x:c>
      <x:c r="I67" s="26" t="str"/>
      <x:c r="J67" s="43" t="str"/>
      <x:c r="K67" s="26" t="str"/>
      <x:c r="L67" s="26" t="str"/>
      <x:c r="M67" s="26" t="str"/>
    </x:row>
    <x:row r="68">
      <x:c r="A68" s="43" t="n">
        <x:v>46253</x:v>
      </x:c>
      <x:c r="B68" s="26" t="str">
        <x:v>Среда</x:v>
      </x:c>
      <x:c r="C68" s="26" t="str">
        <x:v>22:40</x:v>
      </x:c>
      <x:c r="D68" s="26" t="str">
        <x:v>Сканер повторов</x:v>
      </x:c>
      <x:c r="E68" s="26" t="str">
        <x:v>Сканер</x:v>
      </x:c>
      <x:c r="F68" s="26" t="str">
        <x:v>913</x:v>
      </x:c>
      <x:c r="G68" s="73" t="n">
        <x:v>46253.944444444445</x:v>
      </x:c>
      <x:c r="H68" s="73" t="n">
        <x:v>46254.944444444445</x:v>
      </x:c>
      <x:c r="I68" s="26" t="str"/>
      <x:c r="J68" s="43" t="str"/>
      <x:c r="K68" s="26" t="str"/>
      <x:c r="L68" s="26" t="str"/>
      <x:c r="M68" s="26" t="str"/>
    </x:row>
    <x:row r="69">
      <x:c r="A69" s="43" t="n">
        <x:v>46253</x:v>
      </x:c>
      <x:c r="B69" s="26" t="str">
        <x:v>Среда</x:v>
      </x:c>
      <x:c r="C69" s="26" t="str">
        <x:v>22:40</x:v>
      </x:c>
      <x:c r="D69" s="26" t="str">
        <x:v>Запаздывающий</x:v>
      </x:c>
      <x:c r="E69" s="26" t="str">
        <x:v>Запаздывающий</x:v>
      </x:c>
      <x:c r="F69" s="26" t="str">
        <x:v>407</x:v>
      </x:c>
      <x:c r="G69" s="73" t="n">
        <x:v>46253.944444444445</x:v>
      </x:c>
      <x:c r="H69" s="73" t="n">
        <x:v>46254.944444444445</x:v>
      </x:c>
      <x:c r="I69" s="26" t="str"/>
      <x:c r="J69" s="43" t="str"/>
      <x:c r="K69" s="26" t="str"/>
      <x:c r="L69" s="26" t="str"/>
      <x:c r="M69" s="26" t="str"/>
    </x:row>
    <x:row r="70">
      <x:c r="A70" s="43" t="n">
        <x:v>46254</x:v>
      </x:c>
      <x:c r="B70" s="26" t="str">
        <x:v>Четверг</x:v>
      </x:c>
      <x:c r="C70" s="26" t="str">
        <x:v>02:40</x:v>
      </x:c>
      <x:c r="D70" s="26" t="str">
        <x:v>TOP ЮЛЯ</x:v>
      </x:c>
      <x:c r="E70" s="26" t="str">
        <x:v>В1</x:v>
      </x:c>
      <x:c r="F70" s="26" t="str">
        <x:v>274</x:v>
      </x:c>
      <x:c r="G70" s="73" t="n">
        <x:v>46254.11111111111</x:v>
      </x:c>
      <x:c r="H70" s="73" t="n">
        <x:v>46255.11111111111</x:v>
      </x:c>
      <x:c r="I70" s="26" t="str"/>
      <x:c r="J70" s="43" t="str"/>
      <x:c r="K70" s="26" t="str"/>
      <x:c r="L70" s="26" t="str"/>
      <x:c r="M70" s="26" t="str"/>
    </x:row>
    <x:row r="71">
      <x:c r="A71" s="43" t="n">
        <x:v>46254</x:v>
      </x:c>
      <x:c r="B71" s="26" t="str">
        <x:v>Четверг</x:v>
      </x:c>
      <x:c r="C71" s="26" t="str">
        <x:v>02:40</x:v>
      </x:c>
      <x:c r="D71" s="26" t="str">
        <x:v>TOP ЮЛЯ</x:v>
      </x:c>
      <x:c r="E71" s="26" t="str">
        <x:v>В2</x:v>
      </x:c>
      <x:c r="F71" s="26" t="str">
        <x:v>274</x:v>
      </x:c>
      <x:c r="G71" s="73" t="n">
        <x:v>46254.11111111111</x:v>
      </x:c>
      <x:c r="H71" s="73" t="n">
        <x:v>46255.11111111111</x:v>
      </x:c>
      <x:c r="I71" s="26" t="str"/>
      <x:c r="J71" s="43" t="str"/>
      <x:c r="K71" s="26" t="str"/>
      <x:c r="L71" s="26" t="str"/>
      <x:c r="M71" s="26" t="str"/>
    </x:row>
    <x:row r="72">
      <x:c r="A72" s="43" t="n">
        <x:v>46254</x:v>
      </x:c>
      <x:c r="B72" s="26" t="str">
        <x:v>Четверг</x:v>
      </x:c>
      <x:c r="C72" s="26" t="str">
        <x:v>02:40</x:v>
      </x:c>
      <x:c r="D72" s="26" t="str">
        <x:v>TOP ЮЛЯ</x:v>
      </x:c>
      <x:c r="E72" s="26" t="str">
        <x:v>В3</x:v>
      </x:c>
      <x:c r="F72" s="26" t="str">
        <x:v>417</x:v>
      </x:c>
      <x:c r="G72" s="73" t="n">
        <x:v>46254.11111111111</x:v>
      </x:c>
      <x:c r="H72" s="73" t="n">
        <x:v>46255.11111111111</x:v>
      </x:c>
      <x:c r="I72" s="26" t="str"/>
      <x:c r="J72" s="43" t="str"/>
      <x:c r="K72" s="26" t="str"/>
      <x:c r="L72" s="26" t="str"/>
      <x:c r="M72" s="26" t="str"/>
    </x:row>
    <x:row r="73">
      <x:c r="A73" s="43" t="n">
        <x:v>46254</x:v>
      </x:c>
      <x:c r="B73" s="26" t="str">
        <x:v>Четверг</x:v>
      </x:c>
      <x:c r="C73" s="26" t="str">
        <x:v>02:40</x:v>
      </x:c>
      <x:c r="D73" s="26" t="str">
        <x:v>TOP ЮЛЯ</x:v>
      </x:c>
      <x:c r="E73" s="26" t="str">
        <x:v>Г→Г</x:v>
      </x:c>
      <x:c r="F73" s="26" t="str">
        <x:v>795</x:v>
      </x:c>
      <x:c r="G73" s="73" t="n">
        <x:v>46254.11111111111</x:v>
      </x:c>
      <x:c r="H73" s="73" t="n">
        <x:v>46255.11111111111</x:v>
      </x:c>
      <x:c r="I73" s="26" t="str"/>
      <x:c r="J73" s="43" t="str"/>
      <x:c r="K73" s="26" t="str"/>
      <x:c r="L73" s="26" t="str"/>
      <x:c r="M73" s="26" t="str"/>
    </x:row>
    <x:row r="74">
      <x:c r="A74" s="43" t="n">
        <x:v>46254</x:v>
      </x:c>
      <x:c r="B74" s="26" t="str">
        <x:v>Четверг</x:v>
      </x:c>
      <x:c r="C74" s="26" t="str">
        <x:v>02:40</x:v>
      </x:c>
      <x:c r="D74" s="26" t="str">
        <x:v>Δ → TOP-3</x:v>
      </x:c>
      <x:c r="E74" s="26" t="str">
        <x:v>В1</x:v>
      </x:c>
      <x:c r="F74" s="26" t="str">
        <x:v>219</x:v>
      </x:c>
      <x:c r="G74" s="73" t="n">
        <x:v>46254.11111111111</x:v>
      </x:c>
      <x:c r="H74" s="73" t="n">
        <x:v>46255.11111111111</x:v>
      </x:c>
      <x:c r="I74" s="26" t="str"/>
      <x:c r="J74" s="43" t="str"/>
      <x:c r="K74" s="26" t="str"/>
      <x:c r="L74" s="26" t="str"/>
      <x:c r="M74" s="26" t="str"/>
    </x:row>
    <x:row r="75">
      <x:c r="A75" s="43" t="n">
        <x:v>46254</x:v>
      </x:c>
      <x:c r="B75" s="26" t="str">
        <x:v>Четверг</x:v>
      </x:c>
      <x:c r="C75" s="26" t="str">
        <x:v>02:40</x:v>
      </x:c>
      <x:c r="D75" s="26" t="str">
        <x:v>Δ → TOP-3</x:v>
      </x:c>
      <x:c r="E75" s="26" t="str">
        <x:v>В2</x:v>
      </x:c>
      <x:c r="F75" s="26" t="str">
        <x:v>215</x:v>
      </x:c>
      <x:c r="G75" s="73" t="n">
        <x:v>46254.11111111111</x:v>
      </x:c>
      <x:c r="H75" s="73" t="n">
        <x:v>46255.11111111111</x:v>
      </x:c>
      <x:c r="I75" s="26" t="str"/>
      <x:c r="J75" s="43" t="str"/>
      <x:c r="K75" s="26" t="str"/>
      <x:c r="L75" s="26" t="str"/>
      <x:c r="M75" s="26" t="str"/>
    </x:row>
    <x:row r="76">
      <x:c r="A76" s="43" t="n">
        <x:v>46254</x:v>
      </x:c>
      <x:c r="B76" s="26" t="str">
        <x:v>Четверг</x:v>
      </x:c>
      <x:c r="C76" s="26" t="str">
        <x:v>02:40</x:v>
      </x:c>
      <x:c r="D76" s="26" t="str">
        <x:v>Δ → TOP-3</x:v>
      </x:c>
      <x:c r="E76" s="26" t="str">
        <x:v>В3</x:v>
      </x:c>
      <x:c r="F76" s="26" t="str">
        <x:v>922</x:v>
      </x:c>
      <x:c r="G76" s="73" t="n">
        <x:v>46254.11111111111</x:v>
      </x:c>
      <x:c r="H76" s="73" t="n">
        <x:v>46255.11111111111</x:v>
      </x:c>
      <x:c r="I76" s="26" t="str"/>
      <x:c r="J76" s="43" t="str"/>
      <x:c r="K76" s="26" t="str"/>
      <x:c r="L76" s="26" t="str"/>
      <x:c r="M76" s="26" t="str"/>
    </x:row>
    <x:row r="77">
      <x:c r="A77" s="43" t="n">
        <x:v>46254</x:v>
      </x:c>
      <x:c r="B77" s="26" t="str">
        <x:v>Четверг</x:v>
      </x:c>
      <x:c r="C77" s="26" t="str">
        <x:v>02:40</x:v>
      </x:c>
      <x:c r="D77" s="26" t="str">
        <x:v>Δ → TOP-3</x:v>
      </x:c>
      <x:c r="E77" s="26" t="str">
        <x:v>Г→Г</x:v>
      </x:c>
      <x:c r="F77" s="26" t="str">
        <x:v>215</x:v>
      </x:c>
      <x:c r="G77" s="73" t="n">
        <x:v>46254.11111111111</x:v>
      </x:c>
      <x:c r="H77" s="73" t="n">
        <x:v>46255.11111111111</x:v>
      </x:c>
      <x:c r="I77" s="26" t="str"/>
      <x:c r="J77" s="43" t="str"/>
      <x:c r="K77" s="26" t="str"/>
      <x:c r="L77" s="26" t="str"/>
      <x:c r="M77" s="26" t="str"/>
    </x:row>
    <x:row r="78">
      <x:c r="A78" s="43" t="n">
        <x:v>46254</x:v>
      </x:c>
      <x:c r="B78" s="26" t="str">
        <x:v>Четверг</x:v>
      </x:c>
      <x:c r="C78" s="26" t="str">
        <x:v>02:40</x:v>
      </x:c>
      <x:c r="D78" s="26" t="str">
        <x:v>ЧИСЛА → TOP-3</x:v>
      </x:c>
      <x:c r="E78" s="26" t="str">
        <x:v>В1</x:v>
      </x:c>
      <x:c r="F78" s="26" t="str">
        <x:v>679</x:v>
      </x:c>
      <x:c r="G78" s="73" t="n">
        <x:v>46254.11111111111</x:v>
      </x:c>
      <x:c r="H78" s="73" t="n">
        <x:v>46255.11111111111</x:v>
      </x:c>
      <x:c r="I78" s="26" t="str"/>
      <x:c r="J78" s="43" t="str"/>
      <x:c r="K78" s="26" t="str"/>
      <x:c r="L78" s="26" t="str"/>
      <x:c r="M78" s="26" t="str"/>
    </x:row>
    <x:row r="79">
      <x:c r="A79" s="43" t="n">
        <x:v>46254</x:v>
      </x:c>
      <x:c r="B79" s="26" t="str">
        <x:v>Четверг</x:v>
      </x:c>
      <x:c r="C79" s="26" t="str">
        <x:v>02:40</x:v>
      </x:c>
      <x:c r="D79" s="26" t="str">
        <x:v>ЧИСЛА → TOP-3</x:v>
      </x:c>
      <x:c r="E79" s="26" t="str">
        <x:v>В2</x:v>
      </x:c>
      <x:c r="F79" s="26" t="str">
        <x:v>679</x:v>
      </x:c>
      <x:c r="G79" s="73" t="n">
        <x:v>46254.11111111111</x:v>
      </x:c>
      <x:c r="H79" s="73" t="n">
        <x:v>46255.11111111111</x:v>
      </x:c>
      <x:c r="I79" s="26" t="str"/>
      <x:c r="J79" s="43" t="str"/>
      <x:c r="K79" s="26" t="str"/>
      <x:c r="L79" s="26" t="str"/>
      <x:c r="M79" s="26" t="str"/>
    </x:row>
    <x:row r="80">
      <x:c r="A80" s="43" t="n">
        <x:v>46254</x:v>
      </x:c>
      <x:c r="B80" s="26" t="str">
        <x:v>Четверг</x:v>
      </x:c>
      <x:c r="C80" s="26" t="str">
        <x:v>02:40</x:v>
      </x:c>
      <x:c r="D80" s="26" t="str">
        <x:v>ЧИСЛА → TOP-3</x:v>
      </x:c>
      <x:c r="E80" s="26" t="str">
        <x:v>В3</x:v>
      </x:c>
      <x:c r="F80" s="26" t="str">
        <x:v>042</x:v>
      </x:c>
      <x:c r="G80" s="73" t="n">
        <x:v>46254.11111111111</x:v>
      </x:c>
      <x:c r="H80" s="73" t="n">
        <x:v>46255.11111111111</x:v>
      </x:c>
      <x:c r="I80" s="26" t="str"/>
      <x:c r="J80" s="43" t="str"/>
      <x:c r="K80" s="26" t="str"/>
      <x:c r="L80" s="26" t="str"/>
      <x:c r="M80" s="26" t="str"/>
    </x:row>
    <x:row r="81">
      <x:c r="A81" s="43" t="n">
        <x:v>46254</x:v>
      </x:c>
      <x:c r="B81" s="26" t="str">
        <x:v>Четверг</x:v>
      </x:c>
      <x:c r="C81" s="26" t="str">
        <x:v>02:40</x:v>
      </x:c>
      <x:c r="D81" s="26" t="str">
        <x:v>ЧИСЛА → TOP-3</x:v>
      </x:c>
      <x:c r="E81" s="26" t="str">
        <x:v>Г→Г</x:v>
      </x:c>
      <x:c r="F81" s="26" t="str">
        <x:v>674</x:v>
      </x:c>
      <x:c r="G81" s="73" t="n">
        <x:v>46254.11111111111</x:v>
      </x:c>
      <x:c r="H81" s="73" t="n">
        <x:v>46255.11111111111</x:v>
      </x:c>
      <x:c r="I81" s="26" t="str"/>
      <x:c r="J81" s="43" t="str"/>
      <x:c r="K81" s="26" t="str"/>
      <x:c r="L81" s="26" t="str"/>
      <x:c r="M81" s="26" t="str"/>
    </x:row>
    <x:row r="82">
      <x:c r="A82" s="43" t="n">
        <x:v>46254</x:v>
      </x:c>
      <x:c r="B82" s="26" t="str">
        <x:v>Четверг</x:v>
      </x:c>
      <x:c r="C82" s="26" t="str">
        <x:v>02:40</x:v>
      </x:c>
      <x:c r="D82" s="26" t="str">
        <x:v>Дополнительные</x:v>
      </x:c>
      <x:c r="E82" s="26" t="str">
        <x:v>Доп №1</x:v>
      </x:c>
      <x:c r="F82" s="26" t="str">
        <x:v>385</x:v>
      </x:c>
      <x:c r="G82" s="73" t="n">
        <x:v>46254.11111111111</x:v>
      </x:c>
      <x:c r="H82" s="73" t="n">
        <x:v>46255.11111111111</x:v>
      </x:c>
      <x:c r="I82" s="26" t="str"/>
      <x:c r="J82" s="43" t="str"/>
      <x:c r="K82" s="26" t="str"/>
      <x:c r="L82" s="26" t="str"/>
      <x:c r="M82" s="26" t="str"/>
    </x:row>
    <x:row r="83">
      <x:c r="A83" s="43" t="n">
        <x:v>46254</x:v>
      </x:c>
      <x:c r="B83" s="26" t="str">
        <x:v>Четверг</x:v>
      </x:c>
      <x:c r="C83" s="26" t="str">
        <x:v>02:40</x:v>
      </x:c>
      <x:c r="D83" s="26" t="str">
        <x:v>Дополнительные</x:v>
      </x:c>
      <x:c r="E83" s="26" t="str">
        <x:v>Доп №2</x:v>
      </x:c>
      <x:c r="F83" s="26" t="str">
        <x:v>627</x:v>
      </x:c>
      <x:c r="G83" s="73" t="n">
        <x:v>46254.11111111111</x:v>
      </x:c>
      <x:c r="H83" s="73" t="n">
        <x:v>46255.11111111111</x:v>
      </x:c>
      <x:c r="I83" s="26" t="str"/>
      <x:c r="J83" s="43" t="str"/>
      <x:c r="K83" s="26" t="str"/>
      <x:c r="L83" s="26" t="str"/>
      <x:c r="M83" s="26" t="str"/>
    </x:row>
    <x:row r="84">
      <x:c r="A84" s="43" t="n">
        <x:v>46254</x:v>
      </x:c>
      <x:c r="B84" s="26" t="str">
        <x:v>Четверг</x:v>
      </x:c>
      <x:c r="C84" s="26" t="str">
        <x:v>02:40</x:v>
      </x:c>
      <x:c r="D84" s="26" t="str">
        <x:v>Дополнительные</x:v>
      </x:c>
      <x:c r="E84" s="26" t="str">
        <x:v>Доп №3</x:v>
      </x:c>
      <x:c r="F84" s="26" t="str">
        <x:v>625</x:v>
      </x:c>
      <x:c r="G84" s="73" t="n">
        <x:v>46254.11111111111</x:v>
      </x:c>
      <x:c r="H84" s="73" t="n">
        <x:v>46255.11111111111</x:v>
      </x:c>
      <x:c r="I84" s="26" t="str"/>
      <x:c r="J84" s="43" t="str"/>
      <x:c r="K84" s="26" t="str"/>
      <x:c r="L84" s="26" t="str"/>
      <x:c r="M84" s="26" t="str"/>
    </x:row>
    <x:row r="85">
      <x:c r="A85" s="43" t="n">
        <x:v>46254</x:v>
      </x:c>
      <x:c r="B85" s="26" t="str">
        <x:v>Четверг</x:v>
      </x:c>
      <x:c r="C85" s="26" t="str">
        <x:v>02:40</x:v>
      </x:c>
      <x:c r="D85" s="26" t="str">
        <x:v>Сканер повторов</x:v>
      </x:c>
      <x:c r="E85" s="26" t="str">
        <x:v>Сканер</x:v>
      </x:c>
      <x:c r="F85" s="26" t="str">
        <x:v>706</x:v>
      </x:c>
      <x:c r="G85" s="73" t="n">
        <x:v>46254.11111111111</x:v>
      </x:c>
      <x:c r="H85" s="73" t="n">
        <x:v>46255.11111111111</x:v>
      </x:c>
      <x:c r="I85" s="26" t="str"/>
      <x:c r="J85" s="43" t="str"/>
      <x:c r="K85" s="26" t="str"/>
      <x:c r="L85" s="26" t="str"/>
      <x:c r="M85" s="26" t="str"/>
    </x:row>
    <x:row r="86">
      <x:c r="A86" s="43" t="n">
        <x:v>46254</x:v>
      </x:c>
      <x:c r="B86" s="26" t="str">
        <x:v>Четверг</x:v>
      </x:c>
      <x:c r="C86" s="26" t="str">
        <x:v>02:40</x:v>
      </x:c>
      <x:c r="D86" s="26" t="str">
        <x:v>Запаздывающий</x:v>
      </x:c>
      <x:c r="E86" s="26" t="str">
        <x:v>Запаздывающий</x:v>
      </x:c>
      <x:c r="F86" s="26" t="str">
        <x:v>687</x:v>
      </x:c>
      <x:c r="G86" s="73" t="n">
        <x:v>46254.11111111111</x:v>
      </x:c>
      <x:c r="H86" s="73" t="n">
        <x:v>46255.11111111111</x:v>
      </x:c>
      <x:c r="I86" s="26" t="str"/>
      <x:c r="J86" s="43" t="str"/>
      <x:c r="K86" s="26" t="str"/>
      <x:c r="L86" s="26" t="str"/>
      <x:c r="M86" s="26" t="str"/>
    </x:row>
  </x:sheetData>
  <x:conditionalFormatting sqref="I2:I86">
    <x:cfRule type="expression" dxfId="0" priority="1">
      <x:formula>I2="T3"</x:formula>
    </x:cfRule>
    <x:cfRule type="expression" dxfId="1" priority="2">
      <x:formula>I2="Л3"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8" hidden="0" customWidth="1"/>
    <x:col min="5" max="5" width="10" hidden="0" customWidth="1"/>
    <x:col min="6" max="6" width="16" hidden="0" customWidth="1"/>
    <x:col min="7" max="7" width="22" hidden="0" customWidth="1"/>
    <x:col min="8" max="8" width="20" hidden="0" customWidth="1"/>
    <x:col min="9" max="9" width="15" hidden="0" customWidth="1"/>
    <x:col min="10" max="10" width="15" hidden="0" customWidth="1"/>
    <x:col min="11" max="11" width="14" hidden="0" customWidth="1"/>
    <x:col min="12" max="12" width="36" hidden="0" customWidth="1"/>
  </x:cols>
  <x:sheetData>
    <x:row r="1">
      <x:c r="A1" s="78" t="str">
        <x:v>Дата выхода</x:v>
      </x:c>
      <x:c r="B1" s="78" t="str">
        <x:v>День недели</x:v>
      </x:c>
      <x:c r="C1" s="78" t="str">
        <x:v>Время выхода</x:v>
      </x:c>
      <x:c r="D1" s="78" t="str">
        <x:v>Тип</x:v>
      </x:c>
      <x:c r="E1" s="78" t="str">
        <x:v>Факт</x:v>
      </x:c>
      <x:c r="F1" s="78" t="str">
        <x:v>Архивный прогноз</x:v>
      </x:c>
      <x:c r="G1" s="78" t="str">
        <x:v>Блок</x:v>
      </x:c>
      <x:c r="H1" s="78" t="str">
        <x:v>Метод / вариант</x:v>
      </x:c>
      <x:c r="I1" s="78" t="str">
        <x:v>Прогноз был на дату</x:v>
      </x:c>
      <x:c r="J1" s="78" t="str">
        <x:v>Прогноз был на время</x:v>
      </x:c>
      <x:c r="K1" s="78" t="str">
        <x:v>Задержка, мин</x:v>
      </x:c>
      <x:c r="L1" s="78" t="str">
        <x:v>Связь</x:v>
      </x:c>
    </x:row>
    <x:row r="2">
      <x:c r="A2" s="28" t="n">
        <x:v>46253</x:v>
      </x:c>
      <x:c r="B2" t="str">
        <x:v>Среда</x:v>
      </x:c>
      <x:c r="C2" t="str">
        <x:v>22:40</x:v>
      </x:c>
      <x:c r="D2" t="str">
        <x:v>T3</x:v>
      </x:c>
      <x:c r="E2" t="str">
        <x:v>015</x:v>
      </x:c>
      <x:c r="F2" t="str">
        <x:v>015</x:v>
      </x:c>
      <x:c r="G2" t="str">
        <x:v>Δ → TOP-3</x:v>
      </x:c>
      <x:c r="H2" t="str">
        <x:v>В2</x:v>
      </x:c>
      <x:c r="I2" s="28" t="n">
        <x:v>46253</x:v>
      </x:c>
      <x:c r="J2" t="str">
        <x:v>22:40</x:v>
      </x:c>
      <x:c r="K2" t="n">
        <x:v>0</x:v>
      </x:c>
      <x:c r="L2" t="str">
        <x:v>тот же тираж</x:v>
      </x:c>
    </x:row>
  </x:sheetData>
  <x:conditionalFormatting sqref="D2:D2">
    <x:cfRule type="expression" dxfId="2" priority="1">
      <x:formula>D2="T3"</x:formula>
    </x:cfRule>
    <x:cfRule type="expression" dxfId="3" priority="2">
      <x:formula>D2="Л3"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>
      <x:c r="A1" s="82" t="str">
        <x:v>Дата</x:v>
      </x:c>
      <x:c r="B1" s="82" t="str">
        <x:v>02:40</x:v>
      </x:c>
      <x:c r="C1" s="82" t="str">
        <x:v>04:40</x:v>
      </x:c>
      <x:c r="D1" s="82" t="str">
        <x:v>06:40</x:v>
      </x:c>
      <x:c r="E1" s="82" t="str">
        <x:v>07:40</x:v>
      </x:c>
      <x:c r="F1" s="82" t="str">
        <x:v>09:40</x:v>
      </x:c>
      <x:c r="G1" s="82" t="str">
        <x:v>11:40</x:v>
      </x:c>
      <x:c r="H1" s="82" t="str">
        <x:v>13:40</x:v>
      </x:c>
      <x:c r="I1" s="82" t="str">
        <x:v>16:25</x:v>
      </x:c>
      <x:c r="J1" s="82" t="str">
        <x:v>21:25</x:v>
      </x:c>
      <x:c r="K1" s="82" t="str">
        <x:v>22:40</x:v>
      </x:c>
    </x:row>
    <x:row r="2" ht="76" customHeight="1">
      <x:c r="A2" s="89" t="n">
        <x:v>46253</x:v>
      </x:c>
      <x:c r="B2" s="40" t="str"/>
      <x:c r="C2" s="40" t="str"/>
      <x:c r="D2" s="40" t="str"/>
      <x:c r="E2" s="40" t="str"/>
      <x:c r="F2" s="40" t="str"/>
      <x:c r="G2" s="40" t="str"/>
      <x:c r="H2" s="40" t="str"/>
      <x:c r="I2" s="40" t="str"/>
      <x:c r="J2" s="40" t="str"/>
      <x:c r="K2" s="40" t="str">
        <x:v>T3 ✅
Факт: 015
Прогноз: 015
Метод: Δ → TOP-3 · В2
Прогноз на: 19.08 · 22:40
Выход: 19.08 · 22:40
Задержка: 0 мин</x:v>
      </x:c>
    </x:row>
    <x:row r="3" ht="76" customHeight="1">
      <x:c r="A3" s="89" t="n">
        <x:v>46254</x:v>
      </x:c>
      <x:c r="B3" s="40" t="str"/>
      <x:c r="C3" s="40" t="str"/>
      <x:c r="D3" s="40" t="str"/>
      <x:c r="E3" s="40" t="str"/>
      <x:c r="F3" s="40" t="str"/>
      <x:c r="G3" s="40" t="str"/>
      <x:c r="H3" s="40" t="str"/>
      <x:c r="I3" s="40" t="str"/>
      <x:c r="J3" s="40" t="str"/>
      <x:c r="K3" s="40" t="str"/>
    </x:row>
    <x:row r="4" ht="76" customHeight="1">
      <x:c r="A4" s="90"/>
      <x:c r="B4" s="40"/>
      <x:c r="C4" s="40"/>
      <x:c r="D4" s="40"/>
      <x:c r="E4" s="40"/>
      <x:c r="F4" s="40"/>
      <x:c r="G4" s="40"/>
      <x:c r="H4" s="40"/>
      <x:c r="I4" s="40"/>
      <x:c r="J4" s="40"/>
      <x:c r="K4" s="40"/>
    </x:row>
    <x:row r="5" ht="76" customHeight="1">
      <x:c r="A5" s="90"/>
      <x:c r="B5" s="40"/>
      <x:c r="C5" s="40"/>
      <x:c r="D5" s="40"/>
      <x:c r="E5" s="40"/>
      <x:c r="F5" s="40"/>
      <x:c r="G5" s="40"/>
      <x:c r="H5" s="40"/>
      <x:c r="I5" s="40"/>
      <x:c r="J5" s="40"/>
      <x:c r="K5" s="40"/>
    </x:row>
    <x:row r="6" ht="76" customHeight="1">
      <x:c r="A6" s="90"/>
      <x:c r="B6" s="40"/>
      <x:c r="C6" s="40"/>
      <x:c r="D6" s="40"/>
      <x:c r="E6" s="40"/>
      <x:c r="F6" s="40"/>
      <x:c r="G6" s="40"/>
      <x:c r="H6" s="40"/>
      <x:c r="I6" s="40"/>
      <x:c r="J6" s="40"/>
      <x:c r="K6" s="40"/>
    </x:row>
    <x:row r="7" ht="76" customHeight="1">
      <x:c r="A7" s="90"/>
      <x:c r="B7" s="40"/>
      <x:c r="C7" s="40"/>
      <x:c r="D7" s="40"/>
      <x:c r="E7" s="40"/>
      <x:c r="F7" s="40"/>
      <x:c r="G7" s="40"/>
      <x:c r="H7" s="40"/>
      <x:c r="I7" s="40"/>
      <x:c r="J7" s="40"/>
      <x:c r="K7" s="40"/>
    </x:row>
    <x:row r="8" ht="76" customHeight="1">
      <x:c r="A8" s="90"/>
      <x:c r="B8" s="40"/>
      <x:c r="C8" s="40"/>
      <x:c r="D8" s="40"/>
      <x:c r="E8" s="40"/>
      <x:c r="F8" s="40"/>
      <x:c r="G8" s="40"/>
      <x:c r="H8" s="40"/>
      <x:c r="I8" s="40"/>
      <x:c r="J8" s="40"/>
      <x:c r="K8" s="40"/>
    </x:row>
    <x:row r="9" ht="76" customHeight="1">
      <x:c r="A9" s="90"/>
      <x:c r="B9" s="40"/>
      <x:c r="C9" s="40"/>
      <x:c r="D9" s="40"/>
      <x:c r="E9" s="40"/>
      <x:c r="F9" s="40"/>
      <x:c r="G9" s="40"/>
      <x:c r="H9" s="40"/>
      <x:c r="I9" s="40"/>
      <x:c r="J9" s="40"/>
      <x:c r="K9" s="40"/>
    </x:row>
    <x:row r="10" ht="76" customHeight="1">
      <x:c r="A10" s="9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</x:row>
    <x:row r="11" ht="76" customHeight="1">
      <x:c r="A11" s="9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</x:row>
    <x:row r="12" ht="76" customHeight="1">
      <x:c r="A12" s="9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</x:row>
    <x:row r="13" ht="76" customHeight="1">
      <x:c r="A13" s="9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</x:row>
    <x:row r="14" ht="76" customHeight="1">
      <x:c r="A14" s="9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</x:row>
    <x:row r="15" ht="76" customHeight="1">
      <x:c r="A15" s="9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</x:row>
    <x:row r="16" ht="76" customHeight="1">
      <x:c r="A16" s="9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</x:row>
    <x:row r="17" ht="76" customHeight="1">
      <x:c r="A17" s="9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</x:row>
    <x:row r="18" ht="76" customHeight="1">
      <x:c r="A18" s="9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</x:row>
    <x:row r="19" ht="76" customHeight="1">
      <x:c r="A19" s="9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</x:row>
    <x:row r="20" ht="76" customHeight="1">
      <x:c r="A20" s="9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</x:row>
    <x:row r="21" ht="76" customHeight="1">
      <x:c r="A21" s="9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</x:row>
    <x:row r="22" ht="76" customHeight="1">
      <x:c r="A22" s="9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</x:row>
    <x:row r="23" ht="76" customHeight="1">
      <x:c r="A23" s="9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</x:row>
    <x:row r="24" ht="76" customHeight="1">
      <x:c r="A24" s="9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</x:row>
    <x:row r="25" ht="76" customHeight="1">
      <x:c r="A25" s="9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</x:row>
    <x:row r="26" ht="76" customHeight="1">
      <x:c r="A26" s="9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</x:row>
    <x:row r="27" ht="76" customHeight="1">
      <x:c r="A27" s="9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</x:row>
    <x:row r="28" ht="76" customHeight="1">
      <x:c r="A28" s="9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</x:row>
    <x:row r="29" ht="76" customHeight="1">
      <x:c r="A29" s="9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</x:row>
    <x:row r="30" ht="76" customHeight="1">
      <x:c r="A30" s="9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</x:row>
    <x:row r="31" ht="76" customHeight="1">
      <x:c r="A31" s="9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</x:row>
    <x:row r="32" ht="76" customHeight="1">
      <x:c r="A32" s="9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</x:row>
    <x:row r="33" ht="76" customHeight="1">
      <x:c r="A33" s="9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</x:row>
    <x:row r="34" ht="76" customHeight="1">
      <x:c r="A34" s="9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</x:row>
    <x:row r="35" ht="76" customHeight="1">
      <x:c r="A35" s="9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</x:row>
    <x:row r="36" ht="76" customHeight="1">
      <x:c r="A36" s="9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</x:row>
    <x:row r="37" ht="76" customHeight="1">
      <x:c r="A37" s="9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</x:row>
    <x:row r="38" ht="76" customHeight="1">
      <x:c r="A38" s="9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</x:row>
    <x:row r="39" ht="76" customHeight="1">
      <x:c r="A39" s="9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</x:row>
    <x:row r="40" ht="76" customHeight="1">
      <x:c r="A40" s="9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</x:row>
    <x:row r="41" ht="76" customHeight="1">
      <x:c r="A41" s="9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</x:row>
    <x:row r="42" ht="76" customHeight="1">
      <x:c r="A42" s="9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</x:row>
    <x:row r="43" ht="76" customHeight="1">
      <x:c r="A43" s="9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</x:row>
    <x:row r="44" ht="76" customHeight="1">
      <x:c r="A44" s="9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</x:row>
    <x:row r="45" ht="76" customHeight="1">
      <x:c r="A45" s="9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</x:row>
    <x:row r="46" ht="76" customHeight="1">
      <x:c r="A46" s="9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</x:row>
    <x:row r="47" ht="76" customHeight="1">
      <x:c r="A47" s="9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</x:row>
    <x:row r="48" ht="76" customHeight="1">
      <x:c r="A48" s="9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</x:row>
    <x:row r="49" ht="76" customHeight="1">
      <x:c r="A49" s="9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</x:row>
    <x:row r="50" ht="76" customHeight="1">
      <x:c r="A50" s="9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</x:row>
    <x:row r="51" ht="76" customHeight="1">
      <x:c r="A51" s="9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</x:row>
    <x:row r="52" ht="76" customHeight="1">
      <x:c r="A52" s="9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</x:row>
    <x:row r="53" ht="76" customHeight="1">
      <x:c r="A53" s="9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</x:row>
    <x:row r="54" ht="76" customHeight="1">
      <x:c r="A54" s="9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</x:row>
    <x:row r="55" ht="76" customHeight="1">
      <x:c r="A55" s="9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</x:row>
    <x:row r="56" ht="76" customHeight="1">
      <x:c r="A56" s="9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</x:row>
    <x:row r="57" ht="76" customHeight="1">
      <x:c r="A57" s="9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</x:row>
    <x:row r="58" ht="76" customHeight="1">
      <x:c r="A58" s="9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</x:row>
    <x:row r="59" ht="76" customHeight="1">
      <x:c r="A59" s="9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</x:row>
    <x:row r="60" ht="76" customHeight="1">
      <x:c r="A60" s="9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</x:row>
    <x:row r="61" ht="76" customHeight="1">
      <x:c r="A61" s="9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</x:row>
    <x:row r="62" ht="76" customHeight="1">
      <x:c r="A62" s="9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</x:row>
    <x:row r="63" ht="76" customHeight="1">
      <x:c r="A63" s="9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</x:row>
    <x:row r="64" ht="76" customHeight="1">
      <x:c r="A64" s="9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</x:row>
    <x:row r="65" ht="76" customHeight="1">
      <x:c r="A65" s="9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</x:row>
    <x:row r="66" ht="76" customHeight="1">
      <x:c r="A66" s="9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</x:row>
    <x:row r="67" ht="76" customHeight="1">
      <x:c r="A67" s="9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</x:row>
    <x:row r="68" ht="76" customHeight="1">
      <x:c r="A68" s="9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</x:row>
    <x:row r="69" ht="76" customHeight="1">
      <x:c r="A69" s="9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</x:row>
    <x:row r="70" ht="76" customHeight="1">
      <x:c r="A70" s="9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</x:row>
    <x:row r="71" ht="76" customHeight="1">
      <x:c r="A71" s="9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</x:row>
    <x:row r="72" ht="76" customHeight="1">
      <x:c r="A72" s="9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</x:row>
    <x:row r="73" ht="76" customHeight="1">
      <x:c r="A73" s="9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</x:row>
    <x:row r="74" ht="76" customHeight="1">
      <x:c r="A74" s="9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</x:row>
    <x:row r="75" ht="76" customHeight="1">
      <x:c r="A75" s="9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</x:row>
    <x:row r="76" ht="76" customHeight="1">
      <x:c r="A76" s="9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</x:row>
    <x:row r="77" ht="76" customHeight="1">
      <x:c r="A77" s="9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</x:row>
    <x:row r="78" ht="76" customHeight="1">
      <x:c r="A78" s="9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</x:row>
    <x:row r="79" ht="76" customHeight="1">
      <x:c r="A79" s="9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</x:row>
    <x:row r="80" ht="76" customHeight="1">
      <x:c r="A80" s="9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</x:row>
    <x:row r="81" ht="76" customHeight="1">
      <x:c r="A81" s="9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</x:row>
    <x:row r="82" ht="76" customHeight="1">
      <x:c r="A82" s="9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</x:row>
    <x:row r="83" ht="76" customHeight="1">
      <x:c r="A83" s="9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</x:row>
    <x:row r="84" ht="76" customHeight="1">
      <x:c r="A84" s="9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</x:row>
    <x:row r="85" ht="76" customHeight="1">
      <x:c r="A85" s="9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</x:row>
    <x:row r="86" ht="76" customHeight="1">
      <x:c r="A86" s="9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</x:row>
    <x:row r="87" ht="76" customHeight="1">
      <x:c r="A87" s="9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</x:row>
    <x:row r="88" ht="76" customHeight="1">
      <x:c r="A88" s="9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</x:row>
    <x:row r="89" ht="76" customHeight="1">
      <x:c r="A89" s="9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</x:row>
    <x:row r="90" ht="76" customHeight="1">
      <x:c r="A90" s="9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</x:row>
    <x:row r="91" ht="76" customHeight="1">
      <x:c r="A91" s="9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</x:row>
    <x:row r="92" ht="76" customHeight="1">
      <x:c r="A92" s="9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</x:row>
    <x:row r="93" ht="76" customHeight="1">
      <x:c r="A93" s="9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</x:row>
    <x:row r="94" ht="76" customHeight="1">
      <x:c r="A94" s="9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</x:row>
    <x:row r="95" ht="76" customHeight="1">
      <x:c r="A95" s="9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</x:row>
    <x:row r="96" ht="76" customHeight="1">
      <x:c r="A96" s="9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</x:row>
    <x:row r="97" ht="76" customHeight="1">
      <x:c r="A97" s="9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</x:row>
    <x:row r="98" ht="76" customHeight="1">
      <x:c r="A98" s="9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</x:row>
    <x:row r="99" ht="76" customHeight="1">
      <x:c r="A99" s="9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</x:row>
    <x:row r="100" ht="76" customHeight="1">
      <x:c r="A100" s="9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</x:row>
    <x:row r="101" ht="76" customHeight="1">
      <x:c r="A101" s="9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</x:row>
    <x:row r="102" ht="76" customHeight="1">
      <x:c r="A102" s="9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</x:row>
    <x:row r="103" ht="76" customHeight="1">
      <x:c r="A103" s="9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</x:row>
    <x:row r="104" ht="76" customHeight="1">
      <x:c r="A104" s="9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</x:row>
    <x:row r="105" ht="76" customHeight="1">
      <x:c r="A105" s="9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</x:row>
    <x:row r="106" ht="76" customHeight="1">
      <x:c r="A106" s="9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</x:row>
    <x:row r="107" ht="76" customHeight="1">
      <x:c r="A107" s="9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</x:row>
    <x:row r="108" ht="76" customHeight="1">
      <x:c r="A108" s="9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</x:row>
    <x:row r="109" ht="76" customHeight="1">
      <x:c r="A109" s="9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</x:row>
    <x:row r="110" ht="76" customHeight="1">
      <x:c r="A110" s="9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</x:row>
    <x:row r="111" ht="76" customHeight="1">
      <x:c r="A111" s="9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</x:row>
    <x:row r="112" ht="76" customHeight="1">
      <x:c r="A112" s="9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</x:row>
    <x:row r="113" ht="76" customHeight="1">
      <x:c r="A113" s="9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</x:row>
    <x:row r="114" ht="76" customHeight="1">
      <x:c r="A114" s="9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</x:row>
    <x:row r="115" ht="76" customHeight="1">
      <x:c r="A115" s="9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</x:row>
    <x:row r="116" ht="76" customHeight="1">
      <x:c r="A116" s="9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</x:row>
    <x:row r="117" ht="76" customHeight="1">
      <x:c r="A117" s="9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</x:row>
    <x:row r="118" ht="76" customHeight="1">
      <x:c r="A118" s="9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</x:row>
    <x:row r="119" ht="76" customHeight="1">
      <x:c r="A119" s="9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</x:row>
    <x:row r="120" ht="76" customHeight="1">
      <x:c r="A120" s="9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</x:row>
    <x:row r="121" ht="76" customHeight="1">
      <x:c r="A121" s="9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</x:row>
    <x:row r="122" ht="76" customHeight="1">
      <x:c r="A122" s="9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</x:row>
    <x:row r="123" ht="76" customHeight="1">
      <x:c r="A123" s="9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</x:row>
    <x:row r="124" ht="76" customHeight="1">
      <x:c r="A124" s="9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</x:row>
    <x:row r="125" ht="76" customHeight="1">
      <x:c r="A125" s="9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</x:row>
    <x:row r="126" ht="76" customHeight="1">
      <x:c r="A126" s="9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</x:row>
    <x:row r="127" ht="76" customHeight="1">
      <x:c r="A127" s="9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</x:row>
    <x:row r="128" ht="76" customHeight="1">
      <x:c r="A128" s="9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</x:row>
    <x:row r="129" ht="76" customHeight="1">
      <x:c r="A129" s="9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</x:row>
    <x:row r="130" ht="76" customHeight="1">
      <x:c r="A130" s="9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</x:row>
    <x:row r="131" ht="76" customHeight="1">
      <x:c r="A131" s="9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</x:row>
    <x:row r="132" ht="76" customHeight="1">
      <x:c r="A132" s="9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</x:row>
    <x:row r="133" ht="76" customHeight="1">
      <x:c r="A133" s="9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</x:row>
    <x:row r="134" ht="76" customHeight="1">
      <x:c r="A134" s="9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</x:row>
    <x:row r="135" ht="76" customHeight="1">
      <x:c r="A135" s="9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</x:row>
    <x:row r="136" ht="76" customHeight="1">
      <x:c r="A136" s="9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</x:row>
    <x:row r="137" ht="76" customHeight="1">
      <x:c r="A137" s="9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</x:row>
    <x:row r="138" ht="76" customHeight="1">
      <x:c r="A138" s="9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</x:row>
    <x:row r="139" ht="76" customHeight="1">
      <x:c r="A139" s="9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</x:row>
    <x:row r="140" ht="76" customHeight="1">
      <x:c r="A140" s="9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</x:row>
    <x:row r="141" ht="76" customHeight="1">
      <x:c r="A141" s="9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</x:row>
    <x:row r="142" ht="76" customHeight="1">
      <x:c r="A142" s="9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</x:row>
    <x:row r="143" ht="76" customHeight="1">
      <x:c r="A143" s="9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</x:row>
    <x:row r="144" ht="76" customHeight="1">
      <x:c r="A144" s="9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</x:row>
    <x:row r="145" ht="76" customHeight="1">
      <x:c r="A145" s="9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</x:row>
    <x:row r="146" ht="76" customHeight="1">
      <x:c r="A146" s="9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</x:row>
    <x:row r="147" ht="76" customHeight="1">
      <x:c r="A147" s="9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</x:row>
    <x:row r="148" ht="76" customHeight="1">
      <x:c r="A148" s="9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</x:row>
    <x:row r="149" ht="76" customHeight="1">
      <x:c r="A149" s="9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</x:row>
    <x:row r="150" ht="76" customHeight="1">
      <x:c r="A150" s="9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</x:row>
    <x:row r="151" ht="76" customHeight="1">
      <x:c r="A151" s="9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</x:row>
    <x:row r="152" ht="76" customHeight="1">
      <x:c r="A152" s="9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</x:row>
    <x:row r="153" ht="76" customHeight="1">
      <x:c r="A153" s="9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</x:row>
    <x:row r="154" ht="76" customHeight="1">
      <x:c r="A154" s="9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</x:row>
    <x:row r="155" ht="76" customHeight="1">
      <x:c r="A155" s="9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</x:row>
    <x:row r="156" ht="76" customHeight="1">
      <x:c r="A156" s="9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</x:row>
    <x:row r="157" ht="76" customHeight="1">
      <x:c r="A157" s="9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</x:row>
    <x:row r="158" ht="76" customHeight="1">
      <x:c r="A158" s="9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</x:row>
    <x:row r="159" ht="76" customHeight="1">
      <x:c r="A159" s="9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</x:row>
    <x:row r="160" ht="76" customHeight="1">
      <x:c r="A160" s="9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</x:row>
    <x:row r="161" ht="76" customHeight="1">
      <x:c r="A161" s="9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</x:row>
    <x:row r="162" ht="76" customHeight="1">
      <x:c r="A162" s="9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</x:row>
    <x:row r="163" ht="76" customHeight="1">
      <x:c r="A163" s="9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</x:row>
    <x:row r="164" ht="76" customHeight="1">
      <x:c r="A164" s="9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</x:row>
    <x:row r="165" ht="76" customHeight="1">
      <x:c r="A165" s="9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</x:row>
    <x:row r="166" ht="76" customHeight="1">
      <x:c r="A166" s="9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</x:row>
    <x:row r="167" ht="76" customHeight="1">
      <x:c r="A167" s="9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</x:row>
    <x:row r="168" ht="76" customHeight="1">
      <x:c r="A168" s="9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</x:row>
    <x:row r="169" ht="76" customHeight="1">
      <x:c r="A169" s="9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</x:row>
    <x:row r="170" ht="76" customHeight="1">
      <x:c r="A170" s="9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</x:row>
    <x:row r="171" ht="76" customHeight="1">
      <x:c r="A171" s="9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</x:row>
    <x:row r="172" ht="76" customHeight="1">
      <x:c r="A172" s="9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</x:row>
    <x:row r="173" ht="76" customHeight="1">
      <x:c r="A173" s="9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</x:row>
    <x:row r="174" ht="76" customHeight="1">
      <x:c r="A174" s="9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</x:row>
    <x:row r="175" ht="76" customHeight="1">
      <x:c r="A175" s="9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</x:row>
    <x:row r="176" ht="76" customHeight="1">
      <x:c r="A176" s="9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</x:row>
    <x:row r="177" ht="76" customHeight="1">
      <x:c r="A177" s="9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</x:row>
    <x:row r="178" ht="76" customHeight="1">
      <x:c r="A178" s="9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</x:row>
    <x:row r="179" ht="76" customHeight="1">
      <x:c r="A179" s="9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</x:row>
    <x:row r="180" ht="76" customHeight="1">
      <x:c r="A180" s="9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</x:row>
    <x:row r="181" ht="76" customHeight="1">
      <x:c r="A181" s="9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</x:row>
    <x:row r="182" ht="76" customHeight="1">
      <x:c r="A182" s="9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</x:row>
    <x:row r="183" ht="76" customHeight="1">
      <x:c r="A183" s="9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</x:row>
    <x:row r="184" ht="76" customHeight="1">
      <x:c r="A184" s="9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</x:row>
    <x:row r="185" ht="76" customHeight="1">
      <x:c r="A185" s="9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</x:row>
    <x:row r="186" ht="76" customHeight="1">
      <x:c r="A186" s="9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</x:row>
    <x:row r="187" ht="76" customHeight="1">
      <x:c r="A187" s="9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</x:row>
    <x:row r="188" ht="76" customHeight="1">
      <x:c r="A188" s="9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</x:row>
    <x:row r="189" ht="76" customHeight="1">
      <x:c r="A189" s="9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</x:row>
    <x:row r="190" ht="76" customHeight="1">
      <x:c r="A190" s="9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</x:row>
    <x:row r="191" ht="76" customHeight="1">
      <x:c r="A191" s="9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</x:row>
    <x:row r="192" ht="76" customHeight="1">
      <x:c r="A192" s="9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</x:row>
    <x:row r="193" ht="76" customHeight="1">
      <x:c r="A193" s="9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</x:row>
    <x:row r="194" ht="76" customHeight="1">
      <x:c r="A194" s="9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</x:row>
    <x:row r="195" ht="76" customHeight="1">
      <x:c r="A195" s="9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</x:row>
    <x:row r="196" ht="76" customHeight="1">
      <x:c r="A196" s="9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</x:row>
    <x:row r="197" ht="76" customHeight="1">
      <x:c r="A197" s="9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</x:row>
    <x:row r="198" ht="76" customHeight="1">
      <x:c r="A198" s="9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</x:row>
    <x:row r="199" ht="76" customHeight="1">
      <x:c r="A199" s="9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</x:row>
    <x:row r="200" ht="76" customHeight="1">
      <x:c r="A200" s="9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</x:row>
  </x:sheetData>
  <x:conditionalFormatting sqref="B2:K200">
    <x:cfRule type="expression" dxfId="4" priority="1">
      <x:formula>LEFT(B2,2)="T3"</x:formula>
    </x:cfRule>
    <x:cfRule type="expression" dxfId="5" priority="2">
      <x:formula>LEFT(B2,2)="Л3"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93" t="str">
        <x:v>TOP-3 · АНАЛИЗ «ПРОГНОЗ = АРХИВ»</x:v>
      </x:c>
      <x:c r="B1" s="93"/>
      <x:c r="C1" s="93"/>
      <x:c r="D1" s="93"/>
      <x:c r="E1" s="93"/>
      <x:c r="F1" s="93"/>
    </x:row>
    <x:row r="3">
      <x:c r="A3" s="98" t="str">
        <x:v>Показатель</x:v>
      </x:c>
      <x:c r="B3" s="98" t="str">
        <x:v>Значение</x:v>
      </x:c>
      <x:c r="C3" s="26"/>
      <x:c r="D3" s="99" t="str">
        <x:v>Что анализируем</x:v>
      </x:c>
      <x:c r="E3" s="99" t="str">
        <x:v>Сейчас</x:v>
      </x:c>
      <x:c r="F3" s="99" t="str">
        <x:v>Цель</x:v>
      </x:c>
    </x:row>
    <x:row r="4">
      <x:c r="A4" s="26" t="str">
        <x:v>Всего попаданий</x:v>
      </x:c>
      <x:c r="B4" s="26" t="n">
        <x:f>COUNTA('Журнал попаданий'!D2:D1000)</x:f>
        <x:v>1</x:v>
      </x:c>
      <x:c r="C4" s="26"/>
      <x:c r="D4" s="26" t="str">
        <x:v>Тип выхода</x:v>
      </x:c>
      <x:c r="E4" s="26" t="str">
        <x:v>T3 / Л3</x:v>
      </x:c>
      <x:c r="F4" s="26" t="str">
        <x:v>Отследить смену порядка</x:v>
      </x:c>
    </x:row>
    <x:row r="5">
      <x:c r="A5" s="26" t="str">
        <x:v>Т3 — точный порядок</x:v>
      </x:c>
      <x:c r="B5" s="26" t="n">
        <x:f>COUNTIF('Журнал попаданий'!D2:D1000,"T3")</x:f>
        <x:v>1</x:v>
      </x:c>
      <x:c r="C5" s="26"/>
      <x:c r="D5" s="26" t="str">
        <x:v>Задержка</x:v>
      </x:c>
      <x:c r="E5" s="26" t="str">
        <x:v>0–1440 мин</x:v>
      </x:c>
      <x:c r="F5" s="26" t="str">
        <x:v>Найти типичные задержки</x:v>
      </x:c>
    </x:row>
    <x:row r="6">
      <x:c r="A6" s="26" t="str">
        <x:v>Л3 — любой порядок</x:v>
      </x:c>
      <x:c r="B6" s="26" t="n">
        <x:f>COUNTIF('Журнал попаданий'!D2:D1000,"Л3")</x:f>
        <x:v>0</x:v>
      </x:c>
      <x:c r="C6" s="26"/>
      <x:c r="D6" s="26" t="str">
        <x:v>Метод</x:v>
      </x:c>
      <x:c r="E6" s="26" t="str">
        <x:v>вариант / блок</x:v>
      </x:c>
      <x:c r="F6" s="26" t="str">
        <x:v>Выявить сильные маршруты</x:v>
      </x:c>
    </x:row>
    <x:row r="7">
      <x:c r="A7" s="26" t="str">
        <x:v>Выход в тот же тираж</x:v>
      </x:c>
      <x:c r="B7" s="26" t="n">
        <x:f>COUNTIF('Журнал попаданий'!L2:L1000,"тот же тираж")</x:f>
        <x:v>1</x:v>
      </x:c>
      <x:c r="C7" s="26"/>
      <x:c r="D7" s="26" t="str">
        <x:v>Время</x:v>
      </x:c>
      <x:c r="E7" s="26" t="str">
        <x:v>факт выхода</x:v>
      </x:c>
      <x:c r="F7" s="26" t="str">
        <x:v>Связать прогнозное и фактическое время</x:v>
      </x:c>
    </x:row>
    <x:row r="8">
      <x:c r="A8" s="26"/>
      <x:c r="B8" s="26"/>
      <x:c r="C8" s="26"/>
      <x:c r="D8" s="26"/>
      <x:c r="E8" s="26"/>
      <x:c r="F8" s="26"/>
    </x:row>
    <x:row r="9">
      <x:c r="A9" s="66" t="str">
        <x:v>Текущее состояние: подтверждено 1 попадание — T3, Δ → TOP-3 · Вариант 2, прогноз 015 на 19.08 22:40 вышел 19.08 22:40 без задержки. Л3 пока не зафиксирован. По одному случаю алгоритмическую закономерность не выводим — только копим базу.</x:v>
      </x:c>
      <x:c r="B9" s="66"/>
      <x:c r="C9" s="66"/>
      <x:c r="D9" s="66"/>
      <x:c r="E9" s="66"/>
      <x:c r="F9" s="66"/>
    </x:row>
    <x:row r="10">
      <x:c r="A10" s="66"/>
      <x:c r="B10" s="66"/>
      <x:c r="C10" s="66"/>
      <x:c r="D10" s="66"/>
      <x:c r="E10" s="66"/>
      <x:c r="F10" s="66"/>
    </x:row>
    <x:row r="11">
      <x:c r="A11" s="66"/>
      <x:c r="B11" s="66"/>
      <x:c r="C11" s="66"/>
      <x:c r="D11" s="66"/>
      <x:c r="E11" s="66"/>
      <x:c r="F11" s="66"/>
    </x:row>
  </x:sheetData>
  <x:mergeCells>
    <x:mergeCell ref="A1:F1"/>
    <x:mergeCell ref="A9:F11"/>
  </x:mergeCells>
  <x:pageMargins left="0.7" right="0.7" top="0.75" bottom="0.75" header="0.3" footer="0.3"/>
</x:worksheet>
</file>